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-commerce analys\Excel\"/>
    </mc:Choice>
  </mc:AlternateContent>
  <xr:revisionPtr revIDLastSave="0" documentId="13_ncr:1_{DD612AEB-8F4B-47E0-A49F-CDCF4A9D8B1F}" xr6:coauthVersionLast="47" xr6:coauthVersionMax="47" xr10:uidLastSave="{00000000-0000-0000-0000-000000000000}"/>
  <bookViews>
    <workbookView xWindow="-120" yWindow="-120" windowWidth="29040" windowHeight="15720" firstSheet="2" activeTab="7" xr2:uid="{DD8030A6-8E05-4706-B22A-CBD36871EA13}"/>
  </bookViews>
  <sheets>
    <sheet name="DT_03_customers" sheetId="8" r:id="rId1"/>
    <sheet name="PT_03_customers" sheetId="10" r:id="rId2"/>
    <sheet name="DT_04_revenue" sheetId="3" r:id="rId3"/>
    <sheet name="PT_04_revenue" sheetId="4" r:id="rId4"/>
    <sheet name="PT_05_cities" sheetId="11" r:id="rId5"/>
    <sheet name="DT_05_cities" sheetId="14" r:id="rId6"/>
    <sheet name="DT_05_cities (2)" sheetId="16" r:id="rId7"/>
    <sheet name="Dashboard" sheetId="15" r:id="rId8"/>
  </sheets>
  <definedNames>
    <definedName name="Срез_city">#N/A</definedName>
    <definedName name="Срез_total_revenue">#N/A</definedName>
  </definedNames>
  <calcPr calcId="191029"/>
  <pivotCaches>
    <pivotCache cacheId="0" r:id="rId9"/>
    <pivotCache cacheId="1" r:id="rId10"/>
    <pivotCache cacheId="6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8D28F3-B5F4-4937-A342-892990F802DD}" keepAlive="1" name="Запрос — 03_customer_segments" description="Соединение с запросом &quot;03_customer_segments&quot; в книге." type="5" refreshedVersion="0" background="1">
    <dbPr connection="Provider=Microsoft.Mashup.OleDb.1;Data Source=$Workbook$;Location=03_customer_segments;Extended Properties=&quot;&quot;" command="SELECT * FROM [03_customer_segments]"/>
  </connection>
  <connection id="2" xr16:uid="{E33F9F85-1248-4A34-9913-D3E72970AC5B}" keepAlive="1" name="Запрос — 03b_customer_segments" description="Соединение с запросом &quot;03b_customer_segments&quot; в книге." type="5" refreshedVersion="0" background="1">
    <dbPr connection="Provider=Microsoft.Mashup.OleDb.1;Data Source=$Workbook$;Location=03b_customer_segments;Extended Properties=&quot;&quot;" command="SELECT * FROM [03b_customer_segments]"/>
  </connection>
  <connection id="3" xr16:uid="{FC9F2A3E-E526-46C8-BD8E-1309E3878A01}" keepAlive="1" name="Запрос — 04_category_revenue" description="Соединение с запросом &quot;04_category_revenue&quot; в книге." type="5" refreshedVersion="0" background="1">
    <dbPr connection="Provider=Microsoft.Mashup.OleDb.1;Data Source=$Workbook$;Location=04_category_revenue;Extended Properties=&quot;&quot;" command="SELECT * FROM [04_category_revenue]"/>
  </connection>
  <connection id="4" xr16:uid="{CACF1C32-C3D9-4BAF-8667-8048B32C2BDF}" keepAlive="1" name="Запрос — 05_top_region" description="Соединение с запросом &quot;05_top_region&quot; в книге." type="5" refreshedVersion="0" background="1">
    <dbPr connection="Provider=Microsoft.Mashup.OleDb.1;Data Source=$Workbook$;Location=05_top_region;Extended Properties=&quot;&quot;" command="SELECT * FROM [05_top_region]"/>
  </connection>
  <connection id="5" xr16:uid="{D2F2BB8E-16F8-4463-9948-AAEA621DB533}" keepAlive="1" name="Запрос — 05_top_region (2)" description="Соединение с запросом &quot;05_top_region (2)&quot; в книге." type="5" refreshedVersion="0" background="1">
    <dbPr connection="Provider=Microsoft.Mashup.OleDb.1;Data Source=$Workbook$;Location=&quot;05_top_region (2)&quot;;Extended Properties=&quot;&quot;" command="SELECT * FROM [05_top_region (2)]"/>
  </connection>
</connections>
</file>

<file path=xl/sharedStrings.xml><?xml version="1.0" encoding="utf-8"?>
<sst xmlns="http://schemas.openxmlformats.org/spreadsheetml/2006/main" count="83" uniqueCount="50">
  <si>
    <t>category_name</t>
  </si>
  <si>
    <t>total_revenue</t>
  </si>
  <si>
    <t>total_quantity_sold</t>
  </si>
  <si>
    <t>average_product_price</t>
  </si>
  <si>
    <t>unique_products_count</t>
  </si>
  <si>
    <t>Мебель</t>
  </si>
  <si>
    <t>Электроника</t>
  </si>
  <si>
    <t>Канцтовары</t>
  </si>
  <si>
    <t>Бытовая техника</t>
  </si>
  <si>
    <t>Книги</t>
  </si>
  <si>
    <t>Одежда</t>
  </si>
  <si>
    <t>Косметика</t>
  </si>
  <si>
    <t>Спорттовары</t>
  </si>
  <si>
    <t>Общий итог</t>
  </si>
  <si>
    <t>Category</t>
  </si>
  <si>
    <t>quantity</t>
  </si>
  <si>
    <t>% of total revenue</t>
  </si>
  <si>
    <t>customer_type</t>
  </si>
  <si>
    <t>total_spent</t>
  </si>
  <si>
    <t>avg_order_value</t>
  </si>
  <si>
    <t>Бизнес</t>
  </si>
  <si>
    <t>Частный</t>
  </si>
  <si>
    <t>customers_count</t>
  </si>
  <si>
    <t>Customer type</t>
  </si>
  <si>
    <t>Number of customers</t>
  </si>
  <si>
    <t>total revenue</t>
  </si>
  <si>
    <t>Average Order Value (AOV)</t>
  </si>
  <si>
    <t>city</t>
  </si>
  <si>
    <t>sales_count</t>
  </si>
  <si>
    <t>avg_check</t>
  </si>
  <si>
    <t>Новосибирск</t>
  </si>
  <si>
    <t>Воронеж</t>
  </si>
  <si>
    <t>Ростов-на-Дону</t>
  </si>
  <si>
    <t>Казань</t>
  </si>
  <si>
    <t>Краснодар</t>
  </si>
  <si>
    <t>Екатеринбург</t>
  </si>
  <si>
    <t>Санкт-Петербург</t>
  </si>
  <si>
    <t>Самара</t>
  </si>
  <si>
    <t>Москва</t>
  </si>
  <si>
    <t>Уфа</t>
  </si>
  <si>
    <t>City</t>
  </si>
  <si>
    <t>Revenue</t>
  </si>
  <si>
    <t>business</t>
  </si>
  <si>
    <t>private</t>
  </si>
  <si>
    <t>CATEGORY</t>
  </si>
  <si>
    <t>Сумма по полю avg_check</t>
  </si>
  <si>
    <t>TOP 5 REVENUE BY CITY</t>
  </si>
  <si>
    <t>CUSTOMER TYPE</t>
  </si>
  <si>
    <t>AVERAGE CHECK BY CITY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</si>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</sst>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₽-419]"/>
    <numFmt numFmtId="165" formatCode="0,&quot;K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20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/>
    <xf numFmtId="165" fontId="0" fillId="0" borderId="0" xfId="0" applyNumberFormat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185"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alignment horizontal="right"/>
    </dxf>
    <dxf>
      <numFmt numFmtId="165" formatCode="0,&quot;K&quot;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alignment horizontal="right"/>
    </dxf>
    <dxf>
      <numFmt numFmtId="164" formatCode="#,##0.00\ [$₽-419]"/>
    </dxf>
    <dxf>
      <numFmt numFmtId="165" formatCode="0,&quot;K&quot;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[ALLL.xlsx]PT_03_customers!Сводная таблица4</c:name>
    <c:fmtId val="0"/>
  </c:pivotSource>
  <c:chart>
    <c:title>
      <c:tx>
        <c:strRef>
          <c:f>PT_03_customers!$A$1</c:f>
          <c:strCache>
            <c:ptCount val="1"/>
            <c:pt idx="0">
              <c:v>CUSTOMER TYPE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317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317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317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PT_03_customers!$A$1</c:f>
              <c:strCache>
                <c:ptCount val="1"/>
                <c:pt idx="0">
                  <c:v>Number of customers</c:v>
                </c:pt>
              </c:strCache>
            </c:strRef>
          </c:tx>
          <c:spPr>
            <a:ln w="31750"/>
          </c:spPr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9-44D6-8D44-6F33C5E2E4E9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DC-4A11-BE3C-7837E6BB2A0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0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9-44D6-8D44-6F33C5E2E4E9}"/>
            </c:ext>
          </c:extLst>
        </c:ser>
        <c:ser>
          <c:idx val="1"/>
          <c:order val="1"/>
          <c:tx>
            <c:strRef>
              <c:f>PT_03_customers!$A$1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DC-4A11-BE3C-7837E6BB2A0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DC-4A11-BE3C-7837E6BB2A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#\ ##0.00\ [$₽-419]</c:formatCode>
                <c:ptCount val="2"/>
                <c:pt idx="0">
                  <c:v>75141.03</c:v>
                </c:pt>
                <c:pt idx="1">
                  <c:v>141551.01999999999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9-44D6-8D44-6F33C5E2E4E9}"/>
            </c:ext>
          </c:extLst>
        </c:ser>
        <c:ser>
          <c:idx val="2"/>
          <c:order val="2"/>
          <c:tx>
            <c:strRef>
              <c:f>PT_03_customers!$A$1</c:f>
              <c:strCache>
                <c:ptCount val="1"/>
                <c:pt idx="0">
                  <c:v>Average Order Value (AOV)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DC-4A11-BE3C-7837E6BB2A0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ADC-4A11-BE3C-7837E6BB2A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#,##0.00</c:formatCode>
                <c:ptCount val="2"/>
                <c:pt idx="0">
                  <c:v>466.71447204968945</c:v>
                </c:pt>
                <c:pt idx="1">
                  <c:v>417.55463126843659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29-44D6-8D44-6F33C5E2E4E9}"/>
            </c:ext>
          </c:extLst>
        </c:ser>
        <c:ser>
          <c:idx val="3"/>
          <c:order val="3"/>
          <c:tx>
            <c:strRef>
              <c:f>PT_03_customers!$A$1</c:f>
              <c:strCache>
                <c:ptCount val="1"/>
                <c:pt idx="0">
                  <c:v>%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ADC-4A11-BE3C-7837E6BB2A0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ADC-4A11-BE3C-7837E6BB2A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0.00%</c:formatCode>
                <c:ptCount val="2"/>
                <c:pt idx="0">
                  <c:v>0.34676412909472221</c:v>
                </c:pt>
                <c:pt idx="1">
                  <c:v>0.65323587090527779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29-44D6-8D44-6F33C5E2E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[ALLL.xlsx]PT_04_revenue!Сводная таблица2</c:name>
    <c:fmtId val="0"/>
  </c:pivotSource>
  <c:chart>
    <c:title>
      <c:tx>
        <c:strRef>
          <c:f>PT_04_revenue!$A$1</c:f>
          <c:strCache>
            <c:ptCount val="1"/>
            <c:pt idx="0">
              <c:v>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96759874637388"/>
              <c:y val="0.110213705133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92073039766058E-2"/>
              <c:y val="0.19699491196082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28106782816341E-2"/>
              <c:y val="0.1039594229811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Спорт
</a:t>
                </a:r>
                <a:fld id="{47B7C781-7726-4111-A337-0200D2DA7974}" type="PERCENTAGE">
                  <a:rPr lang="en-US" baseline="0"/>
                  <a:pPr>
                    <a:defRPr b="1" i="1">
                      <a:solidFill>
                        <a:schemeClr val="bg1"/>
                      </a:solidFill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34766664801371"/>
              <c:y val="-7.5994776206189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72000" tIns="19050" rIns="38100" bIns="19050" anchor="t" anchorCtr="1">
              <a:no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24834001843729"/>
                  <c:h val="9.7543513016021419E-2"/>
                </c:manualLayout>
              </c15:layout>
            </c:ext>
          </c:extLst>
        </c:dLbl>
      </c:pivotFmt>
      <c:pivotFmt>
        <c:idx val="8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070314151115007"/>
              <c:y val="-0.113849220659769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PT_04_revenue!$A$1</c:f>
              <c:strCache>
                <c:ptCount val="1"/>
                <c:pt idx="0">
                  <c:v>quantity</c:v>
                </c:pt>
              </c:strCache>
            </c:strRef>
          </c:tx>
          <c:spPr>
            <a:ln w="19050"/>
          </c:spPr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00C-4080-83D7-B3F2CBB4B54C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C-4080-83D7-B3F2CBB4B54C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00C-4080-83D7-B3F2CBB4B54C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C-4080-83D7-B3F2CBB4B54C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A-4A9E-A7B3-E097CE85C96C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A-4A9E-A7B3-E097CE85C96C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00C-4080-83D7-B3F2CBB4B54C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C-4080-83D7-B3F2CBB4B54C}"/>
              </c:ext>
            </c:extLst>
          </c:dPt>
          <c:dLbls>
            <c:dLbl>
              <c:idx val="0"/>
              <c:layout>
                <c:manualLayout>
                  <c:x val="9.528106782816341E-2"/>
                  <c:y val="0.1039594229811641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0C-4080-83D7-B3F2CBB4B54C}"/>
                </c:ext>
              </c:extLst>
            </c:dLbl>
            <c:dLbl>
              <c:idx val="1"/>
              <c:layout>
                <c:manualLayout>
                  <c:x val="-3.292073039766058E-2"/>
                  <c:y val="0.196994911960823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0C-4080-83D7-B3F2CBB4B54C}"/>
                </c:ext>
              </c:extLst>
            </c:dLbl>
            <c:dLbl>
              <c:idx val="2"/>
              <c:layout>
                <c:manualLayout>
                  <c:x val="-0.13696759874637388"/>
                  <c:y val="0.1102137051333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0C-4080-83D7-B3F2CBB4B54C}"/>
                </c:ext>
              </c:extLst>
            </c:dLbl>
            <c:dLbl>
              <c:idx val="3"/>
              <c:layout>
                <c:manualLayout>
                  <c:x val="-0.17070314151115007"/>
                  <c:y val="-0.1138492206597698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0C-4080-83D7-B3F2CBB4B54C}"/>
                </c:ext>
              </c:extLst>
            </c:dLbl>
            <c:dLbl>
              <c:idx val="6"/>
              <c:layout>
                <c:manualLayout>
                  <c:x val="0.11134766664801371"/>
                  <c:y val="-7.59947762061890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72000" tIns="19050" rIns="38100" bIns="19050" anchor="t" anchorCtr="1">
                  <a:noAutofit/>
                </a:bodyPr>
                <a:lstStyle/>
                <a:p>
                  <a:pPr>
                    <a:defRPr sz="900" b="1" i="1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24834001843729"/>
                      <c:h val="9.75435130160214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00C-4080-83D7-B3F2CBB4B5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ru-RU" baseline="0"/>
                      <a:t>Спорт
</a:t>
                    </a:r>
                    <a:fld id="{47B7C781-7726-4111-A337-0200D2DA7974}" type="PERCENTAGE">
                      <a:rPr lang="en-US" baseline="0"/>
                      <a:pPr/>
                      <a:t>[ПРОЦЕНТ]</a:t>
                    </a:fld>
                    <a:endParaRPr lang="ru-RU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00C-4080-83D7-B3F2CBB4B5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PT_04_revenue!$A$1</c:f>
              <c:strCache>
                <c:ptCount val="8"/>
                <c:pt idx="0">
                  <c:v>Мебель</c:v>
                </c:pt>
                <c:pt idx="1">
                  <c:v>Электроника</c:v>
                </c:pt>
                <c:pt idx="2">
                  <c:v>Канцтовары</c:v>
                </c:pt>
                <c:pt idx="3">
                  <c:v>Бытовая техника</c:v>
                </c:pt>
                <c:pt idx="4">
                  <c:v>Книги</c:v>
                </c:pt>
                <c:pt idx="5">
                  <c:v>Одежда</c:v>
                </c:pt>
                <c:pt idx="6">
                  <c:v>Косметика</c:v>
                </c:pt>
                <c:pt idx="7">
                  <c:v>Спорттовары</c:v>
                </c:pt>
              </c:strCache>
            </c:strRef>
          </c:cat>
          <c:val>
            <c:numRef>
              <c:f>PT_04_revenue!$A$1</c:f>
              <c:numCache>
                <c:formatCode>General</c:formatCode>
                <c:ptCount val="8"/>
                <c:pt idx="0">
                  <c:v>260</c:v>
                </c:pt>
                <c:pt idx="1">
                  <c:v>246</c:v>
                </c:pt>
                <c:pt idx="2">
                  <c:v>216</c:v>
                </c:pt>
                <c:pt idx="3">
                  <c:v>201</c:v>
                </c:pt>
                <c:pt idx="4">
                  <c:v>191</c:v>
                </c:pt>
                <c:pt idx="5">
                  <c:v>138</c:v>
                </c:pt>
                <c:pt idx="6">
                  <c:v>104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C-4080-83D7-B3F2CBB4B54C}"/>
            </c:ext>
          </c:extLst>
        </c:ser>
        <c:ser>
          <c:idx val="1"/>
          <c:order val="1"/>
          <c:tx>
            <c:strRef>
              <c:f>PT_04_revenue!$A$1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A-4A9E-A7B3-E097CE85C96C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A-4A9E-A7B3-E097CE85C96C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A-4A9E-A7B3-E097CE85C96C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A-4A9E-A7B3-E097CE85C96C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1DA-4A9E-A7B3-E097CE85C96C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1DA-4A9E-A7B3-E097CE85C96C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1DA-4A9E-A7B3-E097CE85C96C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1DA-4A9E-A7B3-E097CE85C9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PT_04_revenue!$A$1</c:f>
              <c:strCache>
                <c:ptCount val="8"/>
                <c:pt idx="0">
                  <c:v>Мебель</c:v>
                </c:pt>
                <c:pt idx="1">
                  <c:v>Электроника</c:v>
                </c:pt>
                <c:pt idx="2">
                  <c:v>Канцтовары</c:v>
                </c:pt>
                <c:pt idx="3">
                  <c:v>Бытовая техника</c:v>
                </c:pt>
                <c:pt idx="4">
                  <c:v>Книги</c:v>
                </c:pt>
                <c:pt idx="5">
                  <c:v>Одежда</c:v>
                </c:pt>
                <c:pt idx="6">
                  <c:v>Косметика</c:v>
                </c:pt>
                <c:pt idx="7">
                  <c:v>Спорттовары</c:v>
                </c:pt>
              </c:strCache>
            </c:strRef>
          </c:cat>
          <c:val>
            <c:numRef>
              <c:f>PT_04_revenue!$A$1</c:f>
              <c:numCache>
                <c:formatCode>#\ ##0.00\ [$₽-419]</c:formatCode>
                <c:ptCount val="8"/>
                <c:pt idx="0">
                  <c:v>39261.53</c:v>
                </c:pt>
                <c:pt idx="1">
                  <c:v>36845.57</c:v>
                </c:pt>
                <c:pt idx="2">
                  <c:v>32067.75</c:v>
                </c:pt>
                <c:pt idx="3">
                  <c:v>30190.13</c:v>
                </c:pt>
                <c:pt idx="4">
                  <c:v>28905.48</c:v>
                </c:pt>
                <c:pt idx="5">
                  <c:v>20809.29</c:v>
                </c:pt>
                <c:pt idx="6">
                  <c:v>15599.55</c:v>
                </c:pt>
                <c:pt idx="7">
                  <c:v>13012.75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C-4080-83D7-B3F2CBB4B54C}"/>
            </c:ext>
          </c:extLst>
        </c:ser>
        <c:ser>
          <c:idx val="2"/>
          <c:order val="2"/>
          <c:tx>
            <c:strRef>
              <c:f>PT_04_revenue!$A$1</c:f>
              <c:strCache>
                <c:ptCount val="1"/>
                <c:pt idx="0">
                  <c:v>%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1DA-4A9E-A7B3-E097CE85C96C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1DA-4A9E-A7B3-E097CE85C96C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1DA-4A9E-A7B3-E097CE85C96C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1DA-4A9E-A7B3-E097CE85C96C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1DA-4A9E-A7B3-E097CE85C96C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1DA-4A9E-A7B3-E097CE85C96C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1DA-4A9E-A7B3-E097CE85C96C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1DA-4A9E-A7B3-E097CE85C9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PT_04_revenue!$A$1</c:f>
              <c:strCache>
                <c:ptCount val="8"/>
                <c:pt idx="0">
                  <c:v>Мебель</c:v>
                </c:pt>
                <c:pt idx="1">
                  <c:v>Электроника</c:v>
                </c:pt>
                <c:pt idx="2">
                  <c:v>Канцтовары</c:v>
                </c:pt>
                <c:pt idx="3">
                  <c:v>Бытовая техника</c:v>
                </c:pt>
                <c:pt idx="4">
                  <c:v>Книги</c:v>
                </c:pt>
                <c:pt idx="5">
                  <c:v>Одежда</c:v>
                </c:pt>
                <c:pt idx="6">
                  <c:v>Косметика</c:v>
                </c:pt>
                <c:pt idx="7">
                  <c:v>Спорттовары</c:v>
                </c:pt>
              </c:strCache>
            </c:strRef>
          </c:cat>
          <c:val>
            <c:numRef>
              <c:f>PT_04_revenue!$A$1</c:f>
              <c:numCache>
                <c:formatCode>0.00%</c:formatCode>
                <c:ptCount val="8"/>
                <c:pt idx="0">
                  <c:v>0.18118583492103194</c:v>
                </c:pt>
                <c:pt idx="1">
                  <c:v>0.17003655648649776</c:v>
                </c:pt>
                <c:pt idx="2">
                  <c:v>0.14798766267613417</c:v>
                </c:pt>
                <c:pt idx="3">
                  <c:v>0.13932273934369072</c:v>
                </c:pt>
                <c:pt idx="4">
                  <c:v>0.13339428003934614</c:v>
                </c:pt>
                <c:pt idx="5">
                  <c:v>9.6031626448686042E-2</c:v>
                </c:pt>
                <c:pt idx="6">
                  <c:v>7.1989489231376963E-2</c:v>
                </c:pt>
                <c:pt idx="7">
                  <c:v>6.0051810853236187E-2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C-4080-83D7-B3F2CBB4B5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[ALLL.xlsx]DT_05_cities!Сводная таблица5</c:name>
    <c:fmtId val="0"/>
  </c:pivotSource>
  <c:chart>
    <c:title>
      <c:tx>
        <c:strRef>
          <c:f>DT_05_cities!$A$1</c:f>
          <c:strCache>
            <c:ptCount val="1"/>
            <c:pt idx="0">
              <c:v>TOP 5 REVENUE BY 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DT_05_cities!$A$1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DT_05_cities!$A$1</c:f>
              <c:strCache>
                <c:ptCount val="10"/>
                <c:pt idx="0">
                  <c:v>Новосибирск</c:v>
                </c:pt>
                <c:pt idx="1">
                  <c:v>Воронеж</c:v>
                </c:pt>
                <c:pt idx="2">
                  <c:v>Ростов-на-Дону</c:v>
                </c:pt>
                <c:pt idx="3">
                  <c:v>Казань</c:v>
                </c:pt>
                <c:pt idx="4">
                  <c:v>Краснодар</c:v>
                </c:pt>
                <c:pt idx="5">
                  <c:v>Екатеринбург</c:v>
                </c:pt>
                <c:pt idx="6">
                  <c:v>Санкт-Петербург</c:v>
                </c:pt>
                <c:pt idx="7">
                  <c:v>Самара</c:v>
                </c:pt>
                <c:pt idx="8">
                  <c:v>Москва</c:v>
                </c:pt>
                <c:pt idx="9">
                  <c:v>Уфа</c:v>
                </c:pt>
              </c:strCache>
            </c:strRef>
          </c:cat>
          <c:val>
            <c:numRef>
              <c:f>DT_05_cities!$A$1</c:f>
              <c:numCache>
                <c:formatCode>0\ "K"</c:formatCode>
                <c:ptCount val="10"/>
                <c:pt idx="0">
                  <c:v>27291.65</c:v>
                </c:pt>
                <c:pt idx="1">
                  <c:v>25988.080000000002</c:v>
                </c:pt>
                <c:pt idx="2">
                  <c:v>25804.95</c:v>
                </c:pt>
                <c:pt idx="3">
                  <c:v>25289.29</c:v>
                </c:pt>
                <c:pt idx="4">
                  <c:v>23277.75</c:v>
                </c:pt>
                <c:pt idx="5">
                  <c:v>21364.38</c:v>
                </c:pt>
                <c:pt idx="6">
                  <c:v>19243.8</c:v>
                </c:pt>
                <c:pt idx="7">
                  <c:v>17662.61</c:v>
                </c:pt>
                <c:pt idx="8">
                  <c:v>15478.57</c:v>
                </c:pt>
                <c:pt idx="9">
                  <c:v>15290.97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3-4446-A145-427AA5D9D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717976"/>
        <c:axId val="616716176"/>
      </c:barChart>
      <c:catAx>
        <c:axId val="616717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6716176"/>
        <c:crosses val="autoZero"/>
        <c:auto val="1"/>
        <c:lblAlgn val="ctr"/>
        <c:lblOffset val="100"/>
        <c:noMultiLvlLbl val="0"/>
      </c:catAx>
      <c:valAx>
        <c:axId val="616716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671797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[ALLL.xlsx]DT_05_cities (2)!Сводная таблица5</c:name>
    <c:fmtId val="4"/>
  </c:pivotSource>
  <c:chart>
    <c:title>
      <c:tx>
        <c:strRef>
          <c:f>'DT_05_cities (2)'!$A$1</c:f>
          <c:strCache>
            <c:ptCount val="1"/>
            <c:pt idx="0">
              <c:v>AVERAGE CHECK BY 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'DT_05_cities (2)'!$A$1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'DT_05_cities (2)'!$A$1</c:f>
              <c:strCache>
                <c:ptCount val="10"/>
                <c:pt idx="0">
                  <c:v>Казань</c:v>
                </c:pt>
                <c:pt idx="1">
                  <c:v>Воронеж</c:v>
                </c:pt>
                <c:pt idx="2">
                  <c:v>Новосибирск</c:v>
                </c:pt>
                <c:pt idx="3">
                  <c:v>Екатеринбург</c:v>
                </c:pt>
                <c:pt idx="4">
                  <c:v>Ростов-на-Дону</c:v>
                </c:pt>
                <c:pt idx="5">
                  <c:v>Санкт-Петербург</c:v>
                </c:pt>
                <c:pt idx="6">
                  <c:v>Москва</c:v>
                </c:pt>
                <c:pt idx="7">
                  <c:v>Краснодар</c:v>
                </c:pt>
                <c:pt idx="8">
                  <c:v>Уфа</c:v>
                </c:pt>
                <c:pt idx="9">
                  <c:v>Самара</c:v>
                </c:pt>
              </c:strCache>
            </c:strRef>
          </c:cat>
          <c:val>
            <c:numRef>
              <c:f>'DT_05_cities (2)'!$A$1</c:f>
              <c:numCache>
                <c:formatCode>#\ ##0.00\ [$₽-419]</c:formatCode>
                <c:ptCount val="10"/>
                <c:pt idx="0">
                  <c:v>561.98</c:v>
                </c:pt>
                <c:pt idx="1">
                  <c:v>464.07</c:v>
                </c:pt>
                <c:pt idx="2">
                  <c:v>454.86</c:v>
                </c:pt>
                <c:pt idx="3">
                  <c:v>454.56</c:v>
                </c:pt>
                <c:pt idx="4">
                  <c:v>452.72</c:v>
                </c:pt>
                <c:pt idx="5">
                  <c:v>437.36</c:v>
                </c:pt>
                <c:pt idx="6">
                  <c:v>418.34</c:v>
                </c:pt>
                <c:pt idx="7">
                  <c:v>408.38</c:v>
                </c:pt>
                <c:pt idx="8">
                  <c:v>339.8</c:v>
                </c:pt>
                <c:pt idx="9">
                  <c:v>339.67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A-4B35-A1E7-C92BECC228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188776"/>
        <c:axId val="541149296"/>
      </c:barChart>
      <c:catAx>
        <c:axId val="649188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149296"/>
        <c:crosses val="autoZero"/>
        <c:auto val="1"/>
        <c:lblAlgn val="ctr"/>
        <c:lblOffset val="100"/>
        <c:noMultiLvlLbl val="0"/>
      </c:catAx>
      <c:valAx>
        <c:axId val="5411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[$₽-419]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188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[ALLL.xlsx]PT_03_customers!Сводная таблица4</c:name>
    <c:fmtId val="10"/>
  </c:pivotSource>
  <c:chart>
    <c:title>
      <c:tx>
        <c:strRef>
          <c:f>PT_03_customers!$A$1</c:f>
          <c:strCache>
            <c:ptCount val="1"/>
            <c:pt idx="0">
              <c:v>CUSTOMER TYPE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317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17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76000"/>
            </a:schemeClr>
          </a:solidFill>
          <a:ln w="317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tint val="77000"/>
            </a:schemeClr>
          </a:solidFill>
          <a:ln w="317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317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>
              <a:shade val="76000"/>
            </a:schemeClr>
          </a:solidFill>
          <a:ln w="317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>
              <a:tint val="77000"/>
            </a:schemeClr>
          </a:solidFill>
          <a:ln w="317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PT_03_customers!$A$1</c:f>
              <c:strCache>
                <c:ptCount val="1"/>
                <c:pt idx="0">
                  <c:v>Number of customers</c:v>
                </c:pt>
              </c:strCache>
            </c:strRef>
          </c:tx>
          <c:spPr>
            <a:ln w="31750"/>
          </c:spPr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42-455A-8D51-B00DE20494F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42-455A-8D51-B00DE20494F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0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2-455A-8D51-B00DE20494F8}"/>
            </c:ext>
          </c:extLst>
        </c:ser>
        <c:ser>
          <c:idx val="1"/>
          <c:order val="1"/>
          <c:tx>
            <c:strRef>
              <c:f>PT_03_customers!$A$1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442-455A-8D51-B00DE20494F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442-455A-8D51-B00DE20494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#\ ##0.00\ [$₽-419]</c:formatCode>
                <c:ptCount val="2"/>
                <c:pt idx="0">
                  <c:v>75141.03</c:v>
                </c:pt>
                <c:pt idx="1">
                  <c:v>141551.01999999999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42-455A-8D51-B00DE20494F8}"/>
            </c:ext>
          </c:extLst>
        </c:ser>
        <c:ser>
          <c:idx val="2"/>
          <c:order val="2"/>
          <c:tx>
            <c:strRef>
              <c:f>PT_03_customers!$A$1</c:f>
              <c:strCache>
                <c:ptCount val="1"/>
                <c:pt idx="0">
                  <c:v>Average Order Value (AOV)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42-455A-8D51-B00DE20494F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42-455A-8D51-B00DE20494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#,##0.00</c:formatCode>
                <c:ptCount val="2"/>
                <c:pt idx="0">
                  <c:v>466.71447204968945</c:v>
                </c:pt>
                <c:pt idx="1">
                  <c:v>417.55463126843659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442-455A-8D51-B00DE20494F8}"/>
            </c:ext>
          </c:extLst>
        </c:ser>
        <c:ser>
          <c:idx val="3"/>
          <c:order val="3"/>
          <c:tx>
            <c:strRef>
              <c:f>PT_03_customers!$A$1</c:f>
              <c:strCache>
                <c:ptCount val="1"/>
                <c:pt idx="0">
                  <c:v>%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442-455A-8D51-B00DE20494F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442-455A-8D51-B00DE20494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PT_03_customers!$A$1</c:f>
              <c:strCache>
                <c:ptCount val="2"/>
                <c:pt idx="0">
                  <c:v>business</c:v>
                </c:pt>
                <c:pt idx="1">
                  <c:v>private</c:v>
                </c:pt>
              </c:strCache>
            </c:strRef>
          </c:cat>
          <c:val>
            <c:numRef>
              <c:f>PT_03_customers!$A$1</c:f>
              <c:numCache>
                <c:formatCode>0.00%</c:formatCode>
                <c:ptCount val="2"/>
                <c:pt idx="0">
                  <c:v>0.34676412909472221</c:v>
                </c:pt>
                <c:pt idx="1">
                  <c:v>0.65323587090527779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442-455A-8D51-B00DE2049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[ALLL.xlsx]PT_04_revenue!Сводная таблица2</c:name>
    <c:fmtId val="11"/>
  </c:pivotSource>
  <c:chart>
    <c:title>
      <c:tx>
        <c:strRef>
          <c:f>PT_04_revenue!$A$1</c:f>
          <c:strCache>
            <c:ptCount val="1"/>
            <c:pt idx="0">
              <c:v>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96759874637388"/>
              <c:y val="0.110213705133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92073039766058E-2"/>
              <c:y val="0.19699491196082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28106782816341E-2"/>
              <c:y val="0.1039594229811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Спорт
</a:t>
                </a:r>
                <a:fld id="{47B7C781-7726-4111-A337-0200D2DA7974}" type="PERCENTAGE">
                  <a:rPr lang="en-US" baseline="0"/>
                  <a:pPr>
                    <a:defRPr sz="900" b="1" i="1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34766664801371"/>
              <c:y val="-7.5994776206189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72000" tIns="19050" rIns="38100" bIns="19050" anchor="t" anchorCtr="1">
              <a:no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24834001843729"/>
                  <c:h val="9.7543513016021419E-2"/>
                </c:manualLayout>
              </c15:layout>
            </c:ext>
          </c:extLst>
        </c:dLbl>
      </c:pivotFmt>
      <c:pivotFmt>
        <c:idx val="8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070314151115007"/>
              <c:y val="-0.113849220659769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28106782816341E-2"/>
              <c:y val="0.1039594229811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92073039766058E-2"/>
              <c:y val="0.19699491196082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96759874637388"/>
              <c:y val="0.110213705133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070314151115007"/>
              <c:y val="-0.113849220659769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34766664801371"/>
              <c:y val="-7.5994776206189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72000" tIns="19050" rIns="38100" bIns="19050" anchor="t" anchorCtr="1">
              <a:no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24834001843729"/>
                  <c:h val="9.7543513016021419E-2"/>
                </c:manualLayout>
              </c15:layout>
            </c:ext>
          </c:extLst>
        </c:dLbl>
      </c:pivotFmt>
      <c:pivotFmt>
        <c:idx val="17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Спорт
</a:t>
                </a:r>
                <a:fld id="{47B7C781-7726-4111-A337-0200D2DA7974}" type="PERCENTAGE">
                  <a:rPr lang="en-US" baseline="0"/>
                  <a:pPr>
                    <a:defRPr sz="900" b="1" i="1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07011821069449"/>
              <c:y val="0.107570837077565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92073039766058E-2"/>
              <c:y val="0.19699491196082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17755106397245"/>
              <c:y val="0.110213790906919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817185957677222"/>
              <c:y val="-9.31050953830479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242952634408215"/>
              <c:y val="-7.9606117269806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72000" tIns="19050" rIns="38100" bIns="19050" anchor="t" anchorCtr="1">
              <a:no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615936807330307"/>
                  <c:h val="0.1627287696650245"/>
                </c:manualLayout>
              </c15:layout>
            </c:ext>
          </c:extLst>
        </c:dLbl>
      </c:pivotFmt>
      <c:pivotFmt>
        <c:idx val="44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Спорт
</a:t>
                </a:r>
                <a:fld id="{47B7C781-7726-4111-A337-0200D2DA7974}" type="PERCENTAGE">
                  <a:rPr lang="en-US" baseline="0"/>
                  <a:pPr>
                    <a:defRPr b="1" i="1">
                      <a:solidFill>
                        <a:schemeClr val="bg1"/>
                      </a:solidFill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PT_04_revenue!$A$1</c:f>
              <c:strCache>
                <c:ptCount val="1"/>
                <c:pt idx="0">
                  <c:v>quantity</c:v>
                </c:pt>
              </c:strCache>
            </c:strRef>
          </c:tx>
          <c:spPr>
            <a:ln w="19050"/>
          </c:spPr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8E-42BE-AE0E-44B3DE748029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8E-42BE-AE0E-44B3DE748029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8E-42BE-AE0E-44B3DE748029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8E-42BE-AE0E-44B3DE748029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8E-42BE-AE0E-44B3DE748029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8E-42BE-AE0E-44B3DE748029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8E-42BE-AE0E-44B3DE748029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8E-42BE-AE0E-44B3DE748029}"/>
              </c:ext>
            </c:extLst>
          </c:dPt>
          <c:dLbls>
            <c:dLbl>
              <c:idx val="0"/>
              <c:layout>
                <c:manualLayout>
                  <c:x val="0.11407011821069449"/>
                  <c:y val="0.107570837077565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8E-42BE-AE0E-44B3DE748029}"/>
                </c:ext>
              </c:extLst>
            </c:dLbl>
            <c:dLbl>
              <c:idx val="1"/>
              <c:layout>
                <c:manualLayout>
                  <c:x val="-3.292073039766058E-2"/>
                  <c:y val="0.196994911960823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8E-42BE-AE0E-44B3DE748029}"/>
                </c:ext>
              </c:extLst>
            </c:dLbl>
            <c:dLbl>
              <c:idx val="2"/>
              <c:layout>
                <c:manualLayout>
                  <c:x val="-0.16917755106397245"/>
                  <c:y val="0.110213790906919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8E-42BE-AE0E-44B3DE748029}"/>
                </c:ext>
              </c:extLst>
            </c:dLbl>
            <c:dLbl>
              <c:idx val="3"/>
              <c:layout>
                <c:manualLayout>
                  <c:x val="-0.16817185957677222"/>
                  <c:y val="-9.310509538304793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8E-42BE-AE0E-44B3DE748029}"/>
                </c:ext>
              </c:extLst>
            </c:dLbl>
            <c:dLbl>
              <c:idx val="6"/>
              <c:layout>
                <c:manualLayout>
                  <c:x val="0.17242952634408215"/>
                  <c:y val="-7.96061172698061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72000" tIns="19050" rIns="38100" bIns="19050" anchor="t" anchorCtr="1">
                  <a:noAutofit/>
                </a:bodyPr>
                <a:lstStyle/>
                <a:p>
                  <a:pPr>
                    <a:defRPr sz="900" b="1" i="1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615936807330307"/>
                      <c:h val="0.16272876966502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B28E-42BE-AE0E-44B3DE7480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ru-RU" baseline="0"/>
                      <a:t>Спорт
</a:t>
                    </a:r>
                    <a:fld id="{47B7C781-7726-4111-A337-0200D2DA7974}" type="PERCENTAGE">
                      <a:rPr lang="en-US" baseline="0"/>
                      <a:pPr/>
                      <a:t>[ПРОЦЕНТ]</a:t>
                    </a:fld>
                    <a:endParaRPr lang="ru-RU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B28E-42BE-AE0E-44B3DE7480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PT_04_revenue!$A$1</c:f>
              <c:strCache>
                <c:ptCount val="8"/>
                <c:pt idx="0">
                  <c:v>Мебель</c:v>
                </c:pt>
                <c:pt idx="1">
                  <c:v>Электроника</c:v>
                </c:pt>
                <c:pt idx="2">
                  <c:v>Канцтовары</c:v>
                </c:pt>
                <c:pt idx="3">
                  <c:v>Бытовая техника</c:v>
                </c:pt>
                <c:pt idx="4">
                  <c:v>Книги</c:v>
                </c:pt>
                <c:pt idx="5">
                  <c:v>Одежда</c:v>
                </c:pt>
                <c:pt idx="6">
                  <c:v>Косметика</c:v>
                </c:pt>
                <c:pt idx="7">
                  <c:v>Спорттовары</c:v>
                </c:pt>
              </c:strCache>
            </c:strRef>
          </c:cat>
          <c:val>
            <c:numRef>
              <c:f>PT_04_revenue!$A$1</c:f>
              <c:numCache>
                <c:formatCode>General</c:formatCode>
                <c:ptCount val="8"/>
                <c:pt idx="0">
                  <c:v>260</c:v>
                </c:pt>
                <c:pt idx="1">
                  <c:v>246</c:v>
                </c:pt>
                <c:pt idx="2">
                  <c:v>216</c:v>
                </c:pt>
                <c:pt idx="3">
                  <c:v>201</c:v>
                </c:pt>
                <c:pt idx="4">
                  <c:v>191</c:v>
                </c:pt>
                <c:pt idx="5">
                  <c:v>138</c:v>
                </c:pt>
                <c:pt idx="6">
                  <c:v>104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8E-42BE-AE0E-44B3DE748029}"/>
            </c:ext>
          </c:extLst>
        </c:ser>
        <c:ser>
          <c:idx val="1"/>
          <c:order val="1"/>
          <c:tx>
            <c:strRef>
              <c:f>PT_04_revenue!$A$1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28E-42BE-AE0E-44B3DE748029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E-42BE-AE0E-44B3DE748029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28E-42BE-AE0E-44B3DE748029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28E-42BE-AE0E-44B3DE748029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28E-42BE-AE0E-44B3DE748029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B28E-42BE-AE0E-44B3DE748029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B28E-42BE-AE0E-44B3DE748029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B28E-42BE-AE0E-44B3DE7480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PT_04_revenue!$A$1</c:f>
              <c:strCache>
                <c:ptCount val="8"/>
                <c:pt idx="0">
                  <c:v>Мебель</c:v>
                </c:pt>
                <c:pt idx="1">
                  <c:v>Электроника</c:v>
                </c:pt>
                <c:pt idx="2">
                  <c:v>Канцтовары</c:v>
                </c:pt>
                <c:pt idx="3">
                  <c:v>Бытовая техника</c:v>
                </c:pt>
                <c:pt idx="4">
                  <c:v>Книги</c:v>
                </c:pt>
                <c:pt idx="5">
                  <c:v>Одежда</c:v>
                </c:pt>
                <c:pt idx="6">
                  <c:v>Косметика</c:v>
                </c:pt>
                <c:pt idx="7">
                  <c:v>Спорттовары</c:v>
                </c:pt>
              </c:strCache>
            </c:strRef>
          </c:cat>
          <c:val>
            <c:numRef>
              <c:f>PT_04_revenue!$A$1</c:f>
              <c:numCache>
                <c:formatCode>#\ ##0.00\ [$₽-419]</c:formatCode>
                <c:ptCount val="8"/>
                <c:pt idx="0">
                  <c:v>39261.53</c:v>
                </c:pt>
                <c:pt idx="1">
                  <c:v>36845.57</c:v>
                </c:pt>
                <c:pt idx="2">
                  <c:v>32067.75</c:v>
                </c:pt>
                <c:pt idx="3">
                  <c:v>30190.13</c:v>
                </c:pt>
                <c:pt idx="4">
                  <c:v>28905.48</c:v>
                </c:pt>
                <c:pt idx="5">
                  <c:v>20809.29</c:v>
                </c:pt>
                <c:pt idx="6">
                  <c:v>15599.55</c:v>
                </c:pt>
                <c:pt idx="7">
                  <c:v>13012.75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28E-42BE-AE0E-44B3DE748029}"/>
            </c:ext>
          </c:extLst>
        </c:ser>
        <c:ser>
          <c:idx val="2"/>
          <c:order val="2"/>
          <c:tx>
            <c:strRef>
              <c:f>PT_04_revenue!$A$1</c:f>
              <c:strCache>
                <c:ptCount val="1"/>
                <c:pt idx="0">
                  <c:v>%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28E-42BE-AE0E-44B3DE748029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28E-42BE-AE0E-44B3DE748029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28E-42BE-AE0E-44B3DE748029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28E-42BE-AE0E-44B3DE748029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28E-42BE-AE0E-44B3DE748029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28E-42BE-AE0E-44B3DE748029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28E-42BE-AE0E-44B3DE748029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28E-42BE-AE0E-44B3DE7480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PT_04_revenue!$A$1</c:f>
              <c:strCache>
                <c:ptCount val="8"/>
                <c:pt idx="0">
                  <c:v>Мебель</c:v>
                </c:pt>
                <c:pt idx="1">
                  <c:v>Электроника</c:v>
                </c:pt>
                <c:pt idx="2">
                  <c:v>Канцтовары</c:v>
                </c:pt>
                <c:pt idx="3">
                  <c:v>Бытовая техника</c:v>
                </c:pt>
                <c:pt idx="4">
                  <c:v>Книги</c:v>
                </c:pt>
                <c:pt idx="5">
                  <c:v>Одежда</c:v>
                </c:pt>
                <c:pt idx="6">
                  <c:v>Косметика</c:v>
                </c:pt>
                <c:pt idx="7">
                  <c:v>Спорттовары</c:v>
                </c:pt>
              </c:strCache>
            </c:strRef>
          </c:cat>
          <c:val>
            <c:numRef>
              <c:f>PT_04_revenue!$A$1</c:f>
              <c:numCache>
                <c:formatCode>0.00%</c:formatCode>
                <c:ptCount val="8"/>
                <c:pt idx="0">
                  <c:v>0.18118583492103194</c:v>
                </c:pt>
                <c:pt idx="1">
                  <c:v>0.17003655648649776</c:v>
                </c:pt>
                <c:pt idx="2">
                  <c:v>0.14798766267613417</c:v>
                </c:pt>
                <c:pt idx="3">
                  <c:v>0.13932273934369072</c:v>
                </c:pt>
                <c:pt idx="4">
                  <c:v>0.13339428003934614</c:v>
                </c:pt>
                <c:pt idx="5">
                  <c:v>9.6031626448686042E-2</c:v>
                </c:pt>
                <c:pt idx="6">
                  <c:v>7.1989489231376963E-2</c:v>
                </c:pt>
                <c:pt idx="7">
                  <c:v>6.0051810853236187E-2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B28E-42BE-AE0E-44B3DE7480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[ALLL.xlsx]DT_05_cities!Сводная таблица5</c:name>
    <c:fmtId val="5"/>
  </c:pivotSource>
  <c:chart>
    <c:title>
      <c:tx>
        <c:strRef>
          <c:f>DT_05_cities!$A$1</c:f>
          <c:strCache>
            <c:ptCount val="1"/>
            <c:pt idx="0">
              <c:v>TOP 5 REVENUE BY 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DT_05_cities!$A$1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DT_05_cities!$A$1</c:f>
              <c:strCache>
                <c:ptCount val="10"/>
                <c:pt idx="0">
                  <c:v>Новосибирск</c:v>
                </c:pt>
                <c:pt idx="1">
                  <c:v>Воронеж</c:v>
                </c:pt>
                <c:pt idx="2">
                  <c:v>Ростов-на-Дону</c:v>
                </c:pt>
                <c:pt idx="3">
                  <c:v>Казань</c:v>
                </c:pt>
                <c:pt idx="4">
                  <c:v>Краснодар</c:v>
                </c:pt>
                <c:pt idx="5">
                  <c:v>Екатеринбург</c:v>
                </c:pt>
                <c:pt idx="6">
                  <c:v>Санкт-Петербург</c:v>
                </c:pt>
                <c:pt idx="7">
                  <c:v>Самара</c:v>
                </c:pt>
                <c:pt idx="8">
                  <c:v>Москва</c:v>
                </c:pt>
                <c:pt idx="9">
                  <c:v>Уфа</c:v>
                </c:pt>
              </c:strCache>
            </c:strRef>
          </c:cat>
          <c:val>
            <c:numRef>
              <c:f>DT_05_cities!$A$1</c:f>
              <c:numCache>
                <c:formatCode>0\ "K"</c:formatCode>
                <c:ptCount val="10"/>
                <c:pt idx="0">
                  <c:v>27291.65</c:v>
                </c:pt>
                <c:pt idx="1">
                  <c:v>25988.080000000002</c:v>
                </c:pt>
                <c:pt idx="2">
                  <c:v>25804.95</c:v>
                </c:pt>
                <c:pt idx="3">
                  <c:v>25289.29</c:v>
                </c:pt>
                <c:pt idx="4">
                  <c:v>23277.75</c:v>
                </c:pt>
                <c:pt idx="5">
                  <c:v>21364.38</c:v>
                </c:pt>
                <c:pt idx="6">
                  <c:v>19243.8</c:v>
                </c:pt>
                <c:pt idx="7">
                  <c:v>17662.61</c:v>
                </c:pt>
                <c:pt idx="8">
                  <c:v>15478.57</c:v>
                </c:pt>
                <c:pt idx="9">
                  <c:v>15290.97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5-4276-90B1-E0CA441A0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717976"/>
        <c:axId val="616716176"/>
      </c:barChart>
      <c:catAx>
        <c:axId val="616717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6716176"/>
        <c:crosses val="autoZero"/>
        <c:auto val="1"/>
        <c:lblAlgn val="ctr"/>
        <c:lblOffset val="100"/>
        <c:noMultiLvlLbl val="0"/>
      </c:catAx>
      <c:valAx>
        <c:axId val="616716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671797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[ALLL.xlsx]DT_05_cities (2)!Сводная таблица5</c:name>
    <c:fmtId val="10"/>
  </c:pivotSource>
  <c:chart>
    <c:title>
      <c:tx>
        <c:strRef>
          <c:f>'DT_05_cities (2)'!$A$1</c:f>
          <c:strCache>
            <c:ptCount val="1"/>
            <c:pt idx="0">
              <c:v>AVERAGE CHECK BY 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'DT_05_cities (2)'!$A$1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'DT_05_cities (2)'!$A$1</c:f>
              <c:strCache>
                <c:ptCount val="10"/>
                <c:pt idx="0">
                  <c:v>Казань</c:v>
                </c:pt>
                <c:pt idx="1">
                  <c:v>Воронеж</c:v>
                </c:pt>
                <c:pt idx="2">
                  <c:v>Новосибирск</c:v>
                </c:pt>
                <c:pt idx="3">
                  <c:v>Екатеринбург</c:v>
                </c:pt>
                <c:pt idx="4">
                  <c:v>Ростов-на-Дону</c:v>
                </c:pt>
                <c:pt idx="5">
                  <c:v>Санкт-Петербург</c:v>
                </c:pt>
                <c:pt idx="6">
                  <c:v>Москва</c:v>
                </c:pt>
                <c:pt idx="7">
                  <c:v>Краснодар</c:v>
                </c:pt>
                <c:pt idx="8">
                  <c:v>Уфа</c:v>
                </c:pt>
                <c:pt idx="9">
                  <c:v>Самара</c:v>
                </c:pt>
              </c:strCache>
            </c:strRef>
          </c:cat>
          <c:val>
            <c:numRef>
              <c:f>'DT_05_cities (2)'!$A$1</c:f>
              <c:numCache>
                <c:formatCode>#\ ##0.00\ [$₽-419]</c:formatCode>
                <c:ptCount val="10"/>
                <c:pt idx="0">
                  <c:v>561.98</c:v>
                </c:pt>
                <c:pt idx="1">
                  <c:v>464.07</c:v>
                </c:pt>
                <c:pt idx="2">
                  <c:v>454.86</c:v>
                </c:pt>
                <c:pt idx="3">
                  <c:v>454.56</c:v>
                </c:pt>
                <c:pt idx="4">
                  <c:v>452.72</c:v>
                </c:pt>
                <c:pt idx="5">
                  <c:v>437.36</c:v>
                </c:pt>
                <c:pt idx="6">
                  <c:v>418.34</c:v>
                </c:pt>
                <c:pt idx="7">
                  <c:v>408.38</c:v>
                </c:pt>
                <c:pt idx="8">
                  <c:v>339.8</c:v>
                </c:pt>
                <c:pt idx="9">
                  <c:v>339.67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B-49B3-A91A-AA01A7A1E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1"/>
        <c:overlap val="-27"/>
        <c:axId val="649188776"/>
        <c:axId val="541149296"/>
      </c:barChart>
      <c:catAx>
        <c:axId val="649188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149296"/>
        <c:crosses val="autoZero"/>
        <c:auto val="1"/>
        <c:lblAlgn val="ctr"/>
        <c:lblOffset val="100"/>
        <c:noMultiLvlLbl val="0"/>
      </c:catAx>
      <c:valAx>
        <c:axId val="5411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[$₽-419]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188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147637</xdr:colOff>
      <xdr:row>6</xdr:row>
      <xdr:rowOff>85725</xdr:rowOff>
    </xdr:from>
    <xdr:to>
      <xdr:col>13</xdr:col>
      <xdr:colOff>452437</xdr:colOff>
      <xdr:row>20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3FB8E5-CB71-C015-16A2-B290202F6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595311</xdr:colOff>
      <xdr:row>4</xdr:row>
      <xdr:rowOff>42862</xdr:rowOff>
    </xdr:from>
    <xdr:to>
      <xdr:col>14</xdr:col>
      <xdr:colOff>342900</xdr:colOff>
      <xdr:row>22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C2E4919-E50C-1326-BC67-E795CF5B2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2</xdr:row>
      <xdr:rowOff>42861</xdr:rowOff>
    </xdr:from>
    <xdr:to>
      <xdr:col>7</xdr:col>
      <xdr:colOff>85724</xdr:colOff>
      <xdr:row>17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372853-6D90-30E0-0A0A-6ED12BAD9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766762</xdr:colOff>
      <xdr:row>6</xdr:row>
      <xdr:rowOff>71437</xdr:rowOff>
    </xdr:from>
    <xdr:to>
      <xdr:col>5</xdr:col>
      <xdr:colOff>1309687</xdr:colOff>
      <xdr:row>20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0E72CAC-D5B3-F130-0E0D-63069276E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561925</xdr:colOff>
      <xdr:row>24</xdr:row>
      <xdr:rowOff>71856</xdr:rowOff>
    </xdr:from>
    <xdr:to>
      <xdr:col>11</xdr:col>
      <xdr:colOff>286028</xdr:colOff>
      <xdr:row>40</xdr:row>
      <xdr:rowOff>75764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192F14-19C8-4243-8F6E-650968C95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269688</xdr:colOff>
      <xdr:row>24</xdr:row>
      <xdr:rowOff>75764</xdr:rowOff>
    </xdr:from>
    <xdr:to>
      <xdr:col>25</xdr:col>
      <xdr:colOff>735379</xdr:colOff>
      <xdr:row>40</xdr:row>
      <xdr:rowOff>75764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B659849-4326-4B97-A16F-7A81EE670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426133</xdr:colOff>
      <xdr:row>24</xdr:row>
      <xdr:rowOff>71856</xdr:rowOff>
    </xdr:from>
    <xdr:to>
      <xdr:col>19</xdr:col>
      <xdr:colOff>129583</xdr:colOff>
      <xdr:row>40</xdr:row>
      <xdr:rowOff>75764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787FA9E-9864-417E-BAA5-E709257A4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561925</xdr:colOff>
      <xdr:row>7</xdr:row>
      <xdr:rowOff>190422</xdr:rowOff>
    </xdr:from>
    <xdr:to>
      <xdr:col>25</xdr:col>
      <xdr:colOff>735473</xdr:colOff>
      <xdr:row>23</xdr:row>
      <xdr:rowOff>108235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E0C7582-7EE3-4EB5-8005-A86675472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606135</xdr:colOff>
      <xdr:row>8</xdr:row>
      <xdr:rowOff>16449</xdr:rowOff>
    </xdr:from>
    <xdr:to>
      <xdr:col>3</xdr:col>
      <xdr:colOff>485731</xdr:colOff>
      <xdr:row>23</xdr:row>
      <xdr:rowOff>108235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ity">
              <a:extLst>
                <a:ext uri="{FF2B5EF4-FFF2-40B4-BE49-F238E27FC236}">
                  <a16:creationId xmlns:a16="http://schemas.microsoft.com/office/drawing/2014/main" id="{F4C6775A-E69A-4FFA-9E61-6B5066B4BE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135" y="1575085"/>
              <a:ext cx="1698005" cy="30899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606135</xdr:colOff>
      <xdr:row>24</xdr:row>
      <xdr:rowOff>75764</xdr:rowOff>
    </xdr:from>
    <xdr:to>
      <xdr:col>3</xdr:col>
      <xdr:colOff>485732</xdr:colOff>
      <xdr:row>40</xdr:row>
      <xdr:rowOff>75764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total_revenue">
              <a:extLst>
                <a:ext uri="{FF2B5EF4-FFF2-40B4-BE49-F238E27FC236}">
                  <a16:creationId xmlns:a16="http://schemas.microsoft.com/office/drawing/2014/main" id="{F1A6AA0B-A1FF-487D-A5A6-6E28710F5D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revenu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135" y="4827440"/>
              <a:ext cx="1698006" cy="31172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ислов Стефф" refreshedDate="46066.638187037039" createdVersion="8" refreshedVersion="8" minRefreshableVersion="3" recordCount="8" xr:uid="{60F543EF-6654-47C2-99D8-421BB6484C8F}">
  <cacheSource type="worksheet">
    <worksheetSource name="DT_revenue"/>
  </cacheSource>
  <cacheFields count="5">
    <cacheField name="category_name" numFmtId="0">
      <sharedItems count="8">
        <s v="Мебель"/>
        <s v="Электроника"/>
        <s v="Канцтовары"/>
        <s v="Бытовая техника"/>
        <s v="Книги"/>
        <s v="Одежда"/>
        <s v="Косметика"/>
        <s v="Спорттовары"/>
      </sharedItems>
    </cacheField>
    <cacheField name="total_revenue" numFmtId="0">
      <sharedItems containsSemiMixedTypes="0" containsString="0" containsNumber="1" minValue="13012.75" maxValue="39261.53" count="8">
        <n v="39261.53"/>
        <n v="36845.57"/>
        <n v="32067.75"/>
        <n v="30190.13"/>
        <n v="28905.48"/>
        <n v="20809.29"/>
        <n v="15599.55"/>
        <n v="13012.75"/>
      </sharedItems>
    </cacheField>
    <cacheField name="total_quantity_sold" numFmtId="0">
      <sharedItems containsSemiMixedTypes="0" containsString="0" containsNumber="1" containsInteger="1" minValue="86" maxValue="260"/>
    </cacheField>
    <cacheField name="average_product_price" numFmtId="0">
      <sharedItems containsSemiMixedTypes="0" containsString="0" containsNumber="1" minValue="149.07" maxValue="151.71"/>
    </cacheField>
    <cacheField name="unique_products_count" numFmtId="0">
      <sharedItems containsSemiMixedTypes="0" containsString="0" containsNumber="1" containsInteger="1" minValue="2" maxValue="8" count="5">
        <n v="6"/>
        <n v="8"/>
        <n v="5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ислов Стефф" refreshedDate="46066.673358449072" createdVersion="8" refreshedVersion="8" minRefreshableVersion="3" recordCount="2" xr:uid="{44FD9C7A-B00F-4191-B070-B2FAE1C52A8B}">
  <cacheSource type="worksheet">
    <worksheetSource name="Таблица13"/>
  </cacheSource>
  <cacheFields count="4">
    <cacheField name="customer_type" numFmtId="0">
      <sharedItems count="2">
        <s v="Бизнес"/>
        <s v="Частный"/>
      </sharedItems>
    </cacheField>
    <cacheField name="customers_count" numFmtId="0">
      <sharedItems containsSemiMixedTypes="0" containsString="0" containsNumber="1" containsInteger="1" minValue="10" maxValue="20"/>
    </cacheField>
    <cacheField name="total_spent" numFmtId="0">
      <sharedItems containsSemiMixedTypes="0" containsString="0" containsNumber="1" minValue="75141.03" maxValue="141551.01999999999"/>
    </cacheField>
    <cacheField name="avg_order_value" numFmtId="0">
      <sharedItems containsSemiMixedTypes="0" containsString="0" containsNumber="1" minValue="417.55463126843659" maxValue="466.714472049689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ислов Стефф" refreshedDate="46066.682792245374" createdVersion="8" refreshedVersion="8" minRefreshableVersion="3" recordCount="10" xr:uid="{7758BBDA-8905-411D-9689-FC2FA88C9ECD}">
  <cacheSource type="worksheet">
    <worksheetSource name="Таблица16"/>
  </cacheSource>
  <cacheFields count="5">
    <cacheField name="city" numFmtId="0">
      <sharedItems count="10">
        <s v="Новосибирск"/>
        <s v="Воронеж"/>
        <s v="Ростов-на-Дону"/>
        <s v="Казань"/>
        <s v="Краснодар"/>
        <s v="Екатеринбург"/>
        <s v="Санкт-Петербург"/>
        <s v="Самара"/>
        <s v="Москва"/>
        <s v="Уфа"/>
      </sharedItems>
    </cacheField>
    <cacheField name="customers_count" numFmtId="0">
      <sharedItems containsSemiMixedTypes="0" containsString="0" containsNumber="1" containsInteger="1" minValue="3" maxValue="3" count="1">
        <n v="3"/>
      </sharedItems>
    </cacheField>
    <cacheField name="sales_count" numFmtId="0">
      <sharedItems containsSemiMixedTypes="0" containsString="0" containsNumber="1" containsInteger="1" minValue="37" maxValue="60" count="8">
        <n v="60"/>
        <n v="56"/>
        <n v="57"/>
        <n v="45"/>
        <n v="47"/>
        <n v="44"/>
        <n v="52"/>
        <n v="37"/>
      </sharedItems>
    </cacheField>
    <cacheField name="total_revenue" numFmtId="0">
      <sharedItems containsSemiMixedTypes="0" containsString="0" containsNumber="1" minValue="15290.97" maxValue="27291.65" count="10">
        <n v="27291.65"/>
        <n v="25988.080000000002"/>
        <n v="25804.95"/>
        <n v="25289.29"/>
        <n v="23277.75"/>
        <n v="21364.38"/>
        <n v="19243.8"/>
        <n v="17662.61"/>
        <n v="15478.57"/>
        <n v="15290.97"/>
      </sharedItems>
    </cacheField>
    <cacheField name="avg_check" numFmtId="0">
      <sharedItems containsSemiMixedTypes="0" containsString="0" containsNumber="1" minValue="339.67" maxValue="561.98" count="10">
        <n v="454.86"/>
        <n v="464.07"/>
        <n v="452.72"/>
        <n v="561.98"/>
        <n v="408.38"/>
        <n v="454.56"/>
        <n v="437.36"/>
        <n v="339.67"/>
        <n v="418.34"/>
        <n v="339.8"/>
      </sharedItems>
    </cacheField>
  </cacheFields>
  <extLst>
    <ext xmlns:x14="http://schemas.microsoft.com/office/spreadsheetml/2009/9/main" uri="{725AE2AE-9491-48be-B2B4-4EB974FC3084}">
      <x14:pivotCacheDefinition pivotCacheId="1617409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60"/>
    <n v="150.37"/>
    <x v="0"/>
  </r>
  <r>
    <x v="1"/>
    <x v="1"/>
    <n v="246"/>
    <n v="149.46"/>
    <x v="1"/>
  </r>
  <r>
    <x v="2"/>
    <x v="2"/>
    <n v="216"/>
    <n v="149.59"/>
    <x v="2"/>
  </r>
  <r>
    <x v="3"/>
    <x v="3"/>
    <n v="201"/>
    <n v="149.07"/>
    <x v="0"/>
  </r>
  <r>
    <x v="4"/>
    <x v="4"/>
    <n v="191"/>
    <n v="150.62"/>
    <x v="2"/>
  </r>
  <r>
    <x v="5"/>
    <x v="5"/>
    <n v="138"/>
    <n v="150.24"/>
    <x v="2"/>
  </r>
  <r>
    <x v="6"/>
    <x v="6"/>
    <n v="104"/>
    <n v="149.97"/>
    <x v="3"/>
  </r>
  <r>
    <x v="7"/>
    <x v="7"/>
    <n v="86"/>
    <n v="151.7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  <n v="75141.03"/>
    <n v="466.71447204968945"/>
  </r>
  <r>
    <x v="1"/>
    <n v="20"/>
    <n v="141551.01999999999"/>
    <n v="417.554631268436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</r>
  <r>
    <x v="1"/>
    <x v="0"/>
    <x v="1"/>
    <x v="1"/>
    <x v="1"/>
  </r>
  <r>
    <x v="2"/>
    <x v="0"/>
    <x v="2"/>
    <x v="2"/>
    <x v="2"/>
  </r>
  <r>
    <x v="3"/>
    <x v="0"/>
    <x v="3"/>
    <x v="3"/>
    <x v="3"/>
  </r>
  <r>
    <x v="4"/>
    <x v="0"/>
    <x v="2"/>
    <x v="4"/>
    <x v="4"/>
  </r>
  <r>
    <x v="5"/>
    <x v="0"/>
    <x v="4"/>
    <x v="5"/>
    <x v="5"/>
  </r>
  <r>
    <x v="6"/>
    <x v="0"/>
    <x v="5"/>
    <x v="6"/>
    <x v="6"/>
  </r>
  <r>
    <x v="7"/>
    <x v="0"/>
    <x v="6"/>
    <x v="7"/>
    <x v="7"/>
  </r>
  <r>
    <x v="8"/>
    <x v="0"/>
    <x v="7"/>
    <x v="8"/>
    <x v="8"/>
  </r>
  <r>
    <x v="9"/>
    <x v="0"/>
    <x v="3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1890B-F3F3-4589-8C40-D82855DC9826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 chartFormat="12" rowHeaderCaption="Customer type">
  <location ref="A3:E5" firstHeaderRow="0" firstDataRow="1" firstDataCol="1"/>
  <pivotFields count="4">
    <pivotField axis="axisRow" showAll="0">
      <items count="3">
        <item n="business" x="0"/>
        <item n="private"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ber of customers" fld="1" baseField="0" baseItem="0" numFmtId="1"/>
    <dataField name="total revenue" fld="2" baseField="0" baseItem="0" numFmtId="164"/>
    <dataField name="Average Order Value (AOV)" fld="3" subtotal="average" baseField="0" baseItem="0" numFmtId="4"/>
    <dataField name="% of total revenue" fld="2" showDataAs="percentOfTotal" baseField="0" baseItem="0" numFmtId="10"/>
  </dataFields>
  <formats count="3">
    <format dxfId="1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3">
      <pivotArea outline="0" collapsedLevelsAreSubtotals="1" fieldPosition="0"/>
    </format>
    <format dxfId="182">
      <pivotArea outline="0" fieldPosition="0">
        <references count="1">
          <reference field="4294967294" count="1">
            <x v="2"/>
          </reference>
        </references>
      </pivotArea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0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08007-06EF-450E-8457-8AB161B9F0E0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 rowHeaderCaption="Category">
  <location ref="A3:D12" firstHeaderRow="0" firstDataRow="1" firstDataCol="1"/>
  <pivotFields count="5">
    <pivotField axis="axisRow" showAll="0" sortType="descending">
      <items count="9">
        <item x="3"/>
        <item x="2"/>
        <item x="4"/>
        <item x="6"/>
        <item x="0"/>
        <item x="5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>
      <items count="6">
        <item x="3"/>
        <item x="4"/>
        <item x="2"/>
        <item x="0"/>
        <item x="1"/>
        <item t="default"/>
      </items>
    </pivotField>
  </pivotFields>
  <rowFields count="1">
    <field x="0"/>
  </rowFields>
  <rowItems count="9">
    <i>
      <x v="4"/>
    </i>
    <i>
      <x v="7"/>
    </i>
    <i>
      <x v="1"/>
    </i>
    <i>
      <x/>
    </i>
    <i>
      <x v="2"/>
    </i>
    <i>
      <x v="5"/>
    </i>
    <i>
      <x v="3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y" fld="2" baseField="0" baseItem="0"/>
    <dataField name="total_revenue" fld="1" baseField="0" baseItem="0" numFmtId="164"/>
    <dataField name="% of total revenue" fld="1" showDataAs="percentOfTotal" baseField="0" baseItem="0" numFmtId="10"/>
  </dataFields>
  <formats count="2">
    <format dxfId="181">
      <pivotArea outline="0" collapsedLevelsAreSubtotals="1" fieldPosition="0"/>
    </format>
    <format dxfId="1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5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1" format="5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1" format="62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69980-0C9E-432F-A89E-91B172114B7A}" name="Сводная таблица5" cacheId="6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6" rowHeaderCaption="City">
  <location ref="A3:B13" firstHeaderRow="1" firstDataRow="1" firstDataCol="1"/>
  <pivotFields count="5">
    <pivotField axis="axisRow" showAll="0" sortType="descending">
      <items count="11">
        <item x="8"/>
        <item x="1"/>
        <item x="5"/>
        <item x="3"/>
        <item x="4"/>
        <item x="0"/>
        <item x="2"/>
        <item x="7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10">
    <i>
      <x v="5"/>
    </i>
    <i>
      <x v="1"/>
    </i>
    <i>
      <x v="6"/>
    </i>
    <i>
      <x v="3"/>
    </i>
    <i>
      <x v="4"/>
    </i>
    <i>
      <x v="2"/>
    </i>
    <i>
      <x v="8"/>
    </i>
    <i>
      <x v="7"/>
    </i>
    <i>
      <x/>
    </i>
    <i>
      <x v="9"/>
    </i>
  </rowItems>
  <colItems count="1">
    <i/>
  </colItems>
  <dataFields count="1">
    <dataField name="Revenue" fld="3" baseField="0" baseItem="0" numFmtId="165"/>
  </dataFields>
  <formats count="3">
    <format dxfId="179">
      <pivotArea outline="0" collapsedLevelsAreSubtotals="1" fieldPosition="0"/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D7B4D-6326-4F50-B425-4EE0773CB6F7}" name="Сводная таблица5" cacheId="6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2" rowHeaderCaption="City">
  <location ref="A3:B13" firstHeaderRow="1" firstDataRow="1" firstDataCol="1"/>
  <pivotFields count="5">
    <pivotField axis="axisRow" showAll="0" sortType="descending">
      <items count="11">
        <item x="8"/>
        <item x="1"/>
        <item x="5"/>
        <item x="3"/>
        <item x="4"/>
        <item x="0"/>
        <item x="2"/>
        <item x="7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>
      <items count="9">
        <item x="7"/>
        <item x="5"/>
        <item x="3"/>
        <item x="4"/>
        <item x="6"/>
        <item x="1"/>
        <item x="2"/>
        <item x="0"/>
        <item t="default"/>
      </items>
    </pivotField>
    <pivotField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11">
        <item x="7"/>
        <item x="9"/>
        <item x="4"/>
        <item x="8"/>
        <item x="6"/>
        <item x="2"/>
        <item x="5"/>
        <item x="0"/>
        <item x="1"/>
        <item x="3"/>
        <item t="default"/>
      </items>
    </pivotField>
  </pivotFields>
  <rowFields count="1">
    <field x="0"/>
  </rowFields>
  <rowItems count="10">
    <i>
      <x v="3"/>
    </i>
    <i>
      <x v="1"/>
    </i>
    <i>
      <x v="5"/>
    </i>
    <i>
      <x v="2"/>
    </i>
    <i>
      <x v="6"/>
    </i>
    <i>
      <x v="8"/>
    </i>
    <i>
      <x/>
    </i>
    <i>
      <x v="4"/>
    </i>
    <i>
      <x v="9"/>
    </i>
    <i>
      <x v="7"/>
    </i>
  </rowItems>
  <colItems count="1">
    <i/>
  </colItems>
  <dataFields count="1">
    <dataField name="Сумма по полю avg_check" fld="4" baseField="0" baseItem="0" numFmtId="164"/>
  </dataFields>
  <formats count="2">
    <format dxfId="165">
      <pivotArea outline="0" collapsedLevelsAreSubtotals="1" fieldPosition="0"/>
    </format>
    <format dxfId="16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" xr10:uid="{7B1A1A84-57F4-4223-B524-7635C2A376D3}" sourceName="city">
  <pivotTables>
    <pivotTable tabId="16" name="Сводная таблица5"/>
    <pivotTable tabId="14" name="Сводная таблица5"/>
  </pivotTables>
  <data>
    <tabular pivotCacheId="161740990">
      <items count="10">
        <i x="8" s="1"/>
        <i x="1" s="1"/>
        <i x="5" s="1"/>
        <i x="3" s="1"/>
        <i x="4" s="1"/>
        <i x="0" s="1"/>
        <i x="2" s="1"/>
        <i x="7" s="1"/>
        <i x="6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total_revenue" xr10:uid="{ED47B8F1-7E0E-4142-BBB5-269D992FB039}" sourceName="total_revenue">
  <pivotTables>
    <pivotTable tabId="16" name="Сводная таблица5"/>
    <pivotTable tabId="14" name="Сводная таблица5"/>
  </pivotTables>
  <data>
    <tabular pivotCacheId="161740990">
      <items count="10"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6198CB4F-EDBE-4FA5-BE99-C22875DA4DBB}" cache="Срез_city" caption="city" rowHeight="241300"/>
  <slicer name="total_revenue" xr10:uid="{26942901-5BD1-4C0A-81D8-C50229642F6D}" cache="Срез_total_revenue" caption="total_revenu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CFED3C-CB47-4AAD-8CE2-E93F9C8F471F}" name="Таблица13" displayName="Таблица13" ref="A1:D3" totalsRowShown="0">
  <autoFilter ref="A1:D3" xr:uid="{CCCFED3C-CB47-4AAD-8CE2-E93F9C8F471F}"/>
  <tableColumns count="4">
    <tableColumn id="1" xr3:uid="{05E229ED-C38F-49B7-ADCC-4604B9D66161}" name="customer_type"/>
    <tableColumn id="2" xr3:uid="{0A4C8EFB-76C0-4CE5-8370-E2B3AB550852}" name="customers_count"/>
    <tableColumn id="3" xr3:uid="{CFE5420D-FBD8-4427-B3E6-50FEAC0AE5E9}" name="total_spent"/>
    <tableColumn id="4" xr3:uid="{36B885A9-AFFB-48E4-96C2-1979F0EF9FA3}" name="avg_order_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8AED6C-95BD-41E3-81C7-24358EB04B4D}" name="DT_revenue" displayName="DT_revenue" ref="A1:E9" totalsRowShown="0">
  <autoFilter ref="A1:E9" xr:uid="{168AED6C-95BD-41E3-81C7-24358EB04B4D}"/>
  <tableColumns count="5">
    <tableColumn id="1" xr3:uid="{02AA685E-DF95-4981-83D2-56DE5DCF61E5}" name="category_name"/>
    <tableColumn id="2" xr3:uid="{CA79635B-DEFB-4F2B-B6D2-FA1EEDC8B517}" name="total_revenue"/>
    <tableColumn id="3" xr3:uid="{6E16F84B-B0AA-4CAE-9BBD-B1A3537E36D2}" name="total_quantity_sold"/>
    <tableColumn id="4" xr3:uid="{535AC678-DFC8-4415-B57B-3741FA5A398A}" name="average_product_price"/>
    <tableColumn id="5" xr3:uid="{452617AE-7E85-437F-86CC-33AD7FD3DE7E}" name="unique_products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2417DD-01B2-4817-A390-6B6E45B836B7}" name="Таблица16" displayName="Таблица16" ref="A1:E11" totalsRowShown="0">
  <autoFilter ref="A1:E11" xr:uid="{C52417DD-01B2-4817-A390-6B6E45B836B7}"/>
  <tableColumns count="5">
    <tableColumn id="1" xr3:uid="{A7E85740-9B3D-4AFA-913B-D4381189CD2E}" name="city"/>
    <tableColumn id="2" xr3:uid="{D8F025A2-3442-477B-A0E7-B345CBAD7D6B}" name="customers_count"/>
    <tableColumn id="3" xr3:uid="{E7C8FB9B-37C9-40B4-8DB8-DAC27700CB63}" name="sales_count"/>
    <tableColumn id="4" xr3:uid="{A8F0E1A3-DD5C-4539-9D9F-27DF5F6B955B}" name="total_revenue"/>
    <tableColumn id="5" xr3:uid="{B85D0EA2-219B-4772-B06A-A7C4886C8EFE}" name="avg_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F7EF-931E-42DB-A242-A85C183BD1FF}">
  <dimension ref="A1:D3"/>
  <sheetViews>
    <sheetView workbookViewId="0">
      <selection activeCell="C28" sqref="C28"/>
    </sheetView>
  </sheetViews>
  <sheetFormatPr defaultRowHeight="15" x14ac:dyDescent="0.25"/>
  <cols>
    <col min="1" max="1" width="16.42578125" customWidth="1"/>
    <col min="2" max="2" width="18.28515625" customWidth="1"/>
    <col min="3" max="3" width="13.28515625" customWidth="1"/>
    <col min="4" max="4" width="17.85546875" customWidth="1"/>
  </cols>
  <sheetData>
    <row r="1" spans="1:4" x14ac:dyDescent="0.25">
      <c r="A1" t="s">
        <v>17</v>
      </c>
      <c r="B1" t="s">
        <v>22</v>
      </c>
      <c r="C1" t="s">
        <v>18</v>
      </c>
      <c r="D1" t="s">
        <v>19</v>
      </c>
    </row>
    <row r="2" spans="1:4" x14ac:dyDescent="0.25">
      <c r="A2" t="s">
        <v>20</v>
      </c>
      <c r="B2">
        <v>10</v>
      </c>
      <c r="C2">
        <v>75141.03</v>
      </c>
      <c r="D2">
        <v>466.71447204968945</v>
      </c>
    </row>
    <row r="3" spans="1:4" x14ac:dyDescent="0.25">
      <c r="A3" t="s">
        <v>21</v>
      </c>
      <c r="B3">
        <v>20</v>
      </c>
      <c r="C3">
        <v>141551.01999999999</v>
      </c>
      <c r="D3">
        <v>417.55463126843659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7AF9-3A1A-43CA-99F7-ABFABCEDAC90}">
  <dimension ref="A1:E5"/>
  <sheetViews>
    <sheetView workbookViewId="0">
      <selection activeCell="A2" sqref="A2"/>
    </sheetView>
  </sheetViews>
  <sheetFormatPr defaultRowHeight="15" x14ac:dyDescent="0.25"/>
  <cols>
    <col min="1" max="1" width="16.42578125" bestFit="1" customWidth="1"/>
    <col min="2" max="2" width="20.42578125" bestFit="1" customWidth="1"/>
    <col min="3" max="3" width="13.140625" bestFit="1" customWidth="1"/>
    <col min="4" max="4" width="25.85546875" bestFit="1" customWidth="1"/>
    <col min="5" max="5" width="17.5703125" bestFit="1" customWidth="1"/>
  </cols>
  <sheetData>
    <row r="1" spans="1:5" x14ac:dyDescent="0.25">
      <c r="A1" s="8" t="s">
        <v>47</v>
      </c>
    </row>
    <row r="3" spans="1:5" x14ac:dyDescent="0.25">
      <c r="A3" s="1" t="s">
        <v>23</v>
      </c>
      <c r="B3" s="3" t="s">
        <v>24</v>
      </c>
      <c r="C3" s="3" t="s">
        <v>25</v>
      </c>
      <c r="D3" s="3" t="s">
        <v>26</v>
      </c>
      <c r="E3" s="3" t="s">
        <v>16</v>
      </c>
    </row>
    <row r="4" spans="1:5" x14ac:dyDescent="0.25">
      <c r="A4" s="2" t="s">
        <v>42</v>
      </c>
      <c r="B4" s="6">
        <v>10</v>
      </c>
      <c r="C4" s="4">
        <v>75141.03</v>
      </c>
      <c r="D4" s="7">
        <v>466.71447204968945</v>
      </c>
      <c r="E4" s="5">
        <v>0.34676412909472221</v>
      </c>
    </row>
    <row r="5" spans="1:5" x14ac:dyDescent="0.25">
      <c r="A5" s="2" t="s">
        <v>43</v>
      </c>
      <c r="B5" s="6">
        <v>20</v>
      </c>
      <c r="C5" s="4">
        <v>141551.01999999999</v>
      </c>
      <c r="D5" s="7">
        <v>417.55463126843659</v>
      </c>
      <c r="E5" s="5">
        <v>0.65323587090527779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7B2D-3E1C-4F53-81AF-B34404C0E7B2}">
  <dimension ref="A1:E9"/>
  <sheetViews>
    <sheetView workbookViewId="0">
      <selection activeCell="D27" sqref="D27"/>
    </sheetView>
  </sheetViews>
  <sheetFormatPr defaultRowHeight="15" x14ac:dyDescent="0.25"/>
  <cols>
    <col min="1" max="1" width="16.7109375" customWidth="1"/>
    <col min="2" max="2" width="15.7109375" customWidth="1"/>
    <col min="3" max="3" width="20.42578125" customWidth="1"/>
    <col min="4" max="4" width="23.42578125" customWidth="1"/>
    <col min="5" max="5" width="2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39261.53</v>
      </c>
      <c r="C2">
        <v>260</v>
      </c>
      <c r="D2">
        <v>150.37</v>
      </c>
      <c r="E2">
        <v>6</v>
      </c>
    </row>
    <row r="3" spans="1:5" x14ac:dyDescent="0.25">
      <c r="A3" t="s">
        <v>6</v>
      </c>
      <c r="B3">
        <v>36845.57</v>
      </c>
      <c r="C3">
        <v>246</v>
      </c>
      <c r="D3">
        <v>149.46</v>
      </c>
      <c r="E3">
        <v>8</v>
      </c>
    </row>
    <row r="4" spans="1:5" x14ac:dyDescent="0.25">
      <c r="A4" t="s">
        <v>7</v>
      </c>
      <c r="B4">
        <v>32067.75</v>
      </c>
      <c r="C4">
        <v>216</v>
      </c>
      <c r="D4">
        <v>149.59</v>
      </c>
      <c r="E4">
        <v>5</v>
      </c>
    </row>
    <row r="5" spans="1:5" x14ac:dyDescent="0.25">
      <c r="A5" t="s">
        <v>8</v>
      </c>
      <c r="B5">
        <v>30190.13</v>
      </c>
      <c r="C5">
        <v>201</v>
      </c>
      <c r="D5">
        <v>149.07</v>
      </c>
      <c r="E5">
        <v>6</v>
      </c>
    </row>
    <row r="6" spans="1:5" x14ac:dyDescent="0.25">
      <c r="A6" t="s">
        <v>9</v>
      </c>
      <c r="B6">
        <v>28905.48</v>
      </c>
      <c r="C6">
        <v>191</v>
      </c>
      <c r="D6">
        <v>150.62</v>
      </c>
      <c r="E6">
        <v>5</v>
      </c>
    </row>
    <row r="7" spans="1:5" x14ac:dyDescent="0.25">
      <c r="A7" t="s">
        <v>10</v>
      </c>
      <c r="B7">
        <v>20809.29</v>
      </c>
      <c r="C7">
        <v>138</v>
      </c>
      <c r="D7">
        <v>150.24</v>
      </c>
      <c r="E7">
        <v>5</v>
      </c>
    </row>
    <row r="8" spans="1:5" x14ac:dyDescent="0.25">
      <c r="A8" t="s">
        <v>11</v>
      </c>
      <c r="B8">
        <v>15599.55</v>
      </c>
      <c r="C8">
        <v>104</v>
      </c>
      <c r="D8">
        <v>149.97</v>
      </c>
      <c r="E8">
        <v>2</v>
      </c>
    </row>
    <row r="9" spans="1:5" x14ac:dyDescent="0.25">
      <c r="A9" t="s">
        <v>12</v>
      </c>
      <c r="B9">
        <v>13012.75</v>
      </c>
      <c r="C9">
        <v>86</v>
      </c>
      <c r="D9">
        <v>151.71</v>
      </c>
      <c r="E9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803E-17D8-4DA3-B2FD-3540EB24BBC1}">
  <dimension ref="A1:D12"/>
  <sheetViews>
    <sheetView workbookViewId="0">
      <selection activeCell="Q15" sqref="Q15"/>
    </sheetView>
  </sheetViews>
  <sheetFormatPr defaultRowHeight="15" x14ac:dyDescent="0.25"/>
  <cols>
    <col min="1" max="1" width="16.42578125" bestFit="1" customWidth="1"/>
    <col min="2" max="2" width="8.42578125" bestFit="1" customWidth="1"/>
    <col min="3" max="3" width="13.7109375" bestFit="1" customWidth="1"/>
    <col min="4" max="4" width="17.5703125" bestFit="1" customWidth="1"/>
  </cols>
  <sheetData>
    <row r="1" spans="1:4" x14ac:dyDescent="0.25">
      <c r="A1" s="8" t="s">
        <v>44</v>
      </c>
    </row>
    <row r="3" spans="1:4" x14ac:dyDescent="0.25">
      <c r="A3" s="1" t="s">
        <v>14</v>
      </c>
      <c r="B3" s="3" t="s">
        <v>15</v>
      </c>
      <c r="C3" s="3" t="s">
        <v>1</v>
      </c>
      <c r="D3" s="3" t="s">
        <v>16</v>
      </c>
    </row>
    <row r="4" spans="1:4" x14ac:dyDescent="0.25">
      <c r="A4" s="2" t="s">
        <v>5</v>
      </c>
      <c r="B4" s="3">
        <v>260</v>
      </c>
      <c r="C4" s="4">
        <v>39261.53</v>
      </c>
      <c r="D4" s="5">
        <v>0.18118583492103194</v>
      </c>
    </row>
    <row r="5" spans="1:4" x14ac:dyDescent="0.25">
      <c r="A5" s="2" t="s">
        <v>6</v>
      </c>
      <c r="B5" s="3">
        <v>246</v>
      </c>
      <c r="C5" s="4">
        <v>36845.57</v>
      </c>
      <c r="D5" s="5">
        <v>0.17003655648649776</v>
      </c>
    </row>
    <row r="6" spans="1:4" x14ac:dyDescent="0.25">
      <c r="A6" s="2" t="s">
        <v>7</v>
      </c>
      <c r="B6" s="3">
        <v>216</v>
      </c>
      <c r="C6" s="4">
        <v>32067.75</v>
      </c>
      <c r="D6" s="5">
        <v>0.14798766267613417</v>
      </c>
    </row>
    <row r="7" spans="1:4" x14ac:dyDescent="0.25">
      <c r="A7" s="2" t="s">
        <v>8</v>
      </c>
      <c r="B7" s="3">
        <v>201</v>
      </c>
      <c r="C7" s="4">
        <v>30190.13</v>
      </c>
      <c r="D7" s="5">
        <v>0.13932273934369072</v>
      </c>
    </row>
    <row r="8" spans="1:4" x14ac:dyDescent="0.25">
      <c r="A8" s="2" t="s">
        <v>9</v>
      </c>
      <c r="B8" s="3">
        <v>191</v>
      </c>
      <c r="C8" s="4">
        <v>28905.48</v>
      </c>
      <c r="D8" s="5">
        <v>0.13339428003934614</v>
      </c>
    </row>
    <row r="9" spans="1:4" x14ac:dyDescent="0.25">
      <c r="A9" s="2" t="s">
        <v>10</v>
      </c>
      <c r="B9" s="3">
        <v>138</v>
      </c>
      <c r="C9" s="4">
        <v>20809.29</v>
      </c>
      <c r="D9" s="5">
        <v>9.6031626448686042E-2</v>
      </c>
    </row>
    <row r="10" spans="1:4" x14ac:dyDescent="0.25">
      <c r="A10" s="2" t="s">
        <v>11</v>
      </c>
      <c r="B10" s="3">
        <v>104</v>
      </c>
      <c r="C10" s="4">
        <v>15599.55</v>
      </c>
      <c r="D10" s="5">
        <v>7.1989489231376963E-2</v>
      </c>
    </row>
    <row r="11" spans="1:4" x14ac:dyDescent="0.25">
      <c r="A11" s="2" t="s">
        <v>12</v>
      </c>
      <c r="B11" s="3">
        <v>86</v>
      </c>
      <c r="C11" s="4">
        <v>13012.75</v>
      </c>
      <c r="D11" s="5">
        <v>6.0051810853236187E-2</v>
      </c>
    </row>
    <row r="12" spans="1:4" x14ac:dyDescent="0.25">
      <c r="A12" s="2" t="s">
        <v>13</v>
      </c>
      <c r="B12" s="3">
        <v>1442</v>
      </c>
      <c r="C12" s="4">
        <v>216692.05000000002</v>
      </c>
      <c r="D12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0B8F-D67A-4433-8098-AF7A8F701D25}">
  <dimension ref="A1:E11"/>
  <sheetViews>
    <sheetView workbookViewId="0">
      <selection activeCell="L6" sqref="L6"/>
    </sheetView>
  </sheetViews>
  <sheetFormatPr defaultRowHeight="15" x14ac:dyDescent="0.25"/>
  <cols>
    <col min="1" max="1" width="16.5703125" bestFit="1" customWidth="1"/>
    <col min="2" max="2" width="18.28515625" customWidth="1"/>
    <col min="3" max="3" width="13.5703125" customWidth="1"/>
    <col min="4" max="4" width="15.7109375" customWidth="1"/>
    <col min="5" max="5" width="12.140625" customWidth="1"/>
  </cols>
  <sheetData>
    <row r="1" spans="1:5" x14ac:dyDescent="0.25">
      <c r="A1" t="s">
        <v>27</v>
      </c>
      <c r="B1" t="s">
        <v>22</v>
      </c>
      <c r="C1" t="s">
        <v>28</v>
      </c>
      <c r="D1" t="s">
        <v>1</v>
      </c>
      <c r="E1" t="s">
        <v>29</v>
      </c>
    </row>
    <row r="2" spans="1:5" x14ac:dyDescent="0.25">
      <c r="A2" t="s">
        <v>30</v>
      </c>
      <c r="B2">
        <v>3</v>
      </c>
      <c r="C2">
        <v>60</v>
      </c>
      <c r="D2">
        <v>27291.65</v>
      </c>
      <c r="E2">
        <v>454.86</v>
      </c>
    </row>
    <row r="3" spans="1:5" x14ac:dyDescent="0.25">
      <c r="A3" t="s">
        <v>31</v>
      </c>
      <c r="B3">
        <v>3</v>
      </c>
      <c r="C3">
        <v>56</v>
      </c>
      <c r="D3">
        <v>25988.080000000002</v>
      </c>
      <c r="E3">
        <v>464.07</v>
      </c>
    </row>
    <row r="4" spans="1:5" x14ac:dyDescent="0.25">
      <c r="A4" t="s">
        <v>32</v>
      </c>
      <c r="B4">
        <v>3</v>
      </c>
      <c r="C4">
        <v>57</v>
      </c>
      <c r="D4">
        <v>25804.95</v>
      </c>
      <c r="E4">
        <v>452.72</v>
      </c>
    </row>
    <row r="5" spans="1:5" x14ac:dyDescent="0.25">
      <c r="A5" t="s">
        <v>33</v>
      </c>
      <c r="B5">
        <v>3</v>
      </c>
      <c r="C5">
        <v>45</v>
      </c>
      <c r="D5">
        <v>25289.29</v>
      </c>
      <c r="E5">
        <v>561.98</v>
      </c>
    </row>
    <row r="6" spans="1:5" x14ac:dyDescent="0.25">
      <c r="A6" t="s">
        <v>34</v>
      </c>
      <c r="B6">
        <v>3</v>
      </c>
      <c r="C6">
        <v>57</v>
      </c>
      <c r="D6">
        <v>23277.75</v>
      </c>
      <c r="E6">
        <v>408.38</v>
      </c>
    </row>
    <row r="7" spans="1:5" x14ac:dyDescent="0.25">
      <c r="A7" t="s">
        <v>35</v>
      </c>
      <c r="B7">
        <v>3</v>
      </c>
      <c r="C7">
        <v>47</v>
      </c>
      <c r="D7">
        <v>21364.38</v>
      </c>
      <c r="E7">
        <v>454.56</v>
      </c>
    </row>
    <row r="8" spans="1:5" x14ac:dyDescent="0.25">
      <c r="A8" t="s">
        <v>36</v>
      </c>
      <c r="B8">
        <v>3</v>
      </c>
      <c r="C8">
        <v>44</v>
      </c>
      <c r="D8">
        <v>19243.8</v>
      </c>
      <c r="E8">
        <v>437.36</v>
      </c>
    </row>
    <row r="9" spans="1:5" x14ac:dyDescent="0.25">
      <c r="A9" t="s">
        <v>37</v>
      </c>
      <c r="B9">
        <v>3</v>
      </c>
      <c r="C9">
        <v>52</v>
      </c>
      <c r="D9">
        <v>17662.61</v>
      </c>
      <c r="E9">
        <v>339.67</v>
      </c>
    </row>
    <row r="10" spans="1:5" x14ac:dyDescent="0.25">
      <c r="A10" t="s">
        <v>38</v>
      </c>
      <c r="B10">
        <v>3</v>
      </c>
      <c r="C10">
        <v>37</v>
      </c>
      <c r="D10">
        <v>15478.57</v>
      </c>
      <c r="E10">
        <v>418.34</v>
      </c>
    </row>
    <row r="11" spans="1:5" x14ac:dyDescent="0.25">
      <c r="A11" t="s">
        <v>39</v>
      </c>
      <c r="B11">
        <v>3</v>
      </c>
      <c r="C11">
        <v>45</v>
      </c>
      <c r="D11">
        <v>15290.97</v>
      </c>
      <c r="E11">
        <v>339.8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1A88-B0E3-4660-8421-2611AC914734}">
  <dimension ref="A1:B13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  <col min="2" max="2" width="8.85546875" bestFit="1" customWidth="1"/>
    <col min="3" max="5" width="17.5703125" bestFit="1" customWidth="1"/>
    <col min="6" max="6" width="29" bestFit="1" customWidth="1"/>
  </cols>
  <sheetData>
    <row r="1" spans="1:2" x14ac:dyDescent="0.25">
      <c r="A1" s="8" t="s">
        <v>46</v>
      </c>
    </row>
    <row r="3" spans="1:2" x14ac:dyDescent="0.25">
      <c r="A3" s="1" t="s">
        <v>40</v>
      </c>
      <c r="B3" t="s">
        <v>41</v>
      </c>
    </row>
    <row r="4" spans="1:2" x14ac:dyDescent="0.25">
      <c r="A4" s="2" t="s">
        <v>30</v>
      </c>
      <c r="B4" s="9">
        <v>27291.65</v>
      </c>
    </row>
    <row r="5" spans="1:2" x14ac:dyDescent="0.25">
      <c r="A5" s="2" t="s">
        <v>31</v>
      </c>
      <c r="B5" s="9">
        <v>25988.080000000002</v>
      </c>
    </row>
    <row r="6" spans="1:2" x14ac:dyDescent="0.25">
      <c r="A6" s="2" t="s">
        <v>32</v>
      </c>
      <c r="B6" s="9">
        <v>25804.95</v>
      </c>
    </row>
    <row r="7" spans="1:2" x14ac:dyDescent="0.25">
      <c r="A7" s="2" t="s">
        <v>33</v>
      </c>
      <c r="B7" s="9">
        <v>25289.29</v>
      </c>
    </row>
    <row r="8" spans="1:2" x14ac:dyDescent="0.25">
      <c r="A8" s="2" t="s">
        <v>34</v>
      </c>
      <c r="B8" s="9">
        <v>23277.75</v>
      </c>
    </row>
    <row r="9" spans="1:2" x14ac:dyDescent="0.25">
      <c r="A9" s="2" t="s">
        <v>35</v>
      </c>
      <c r="B9" s="9">
        <v>21364.38</v>
      </c>
    </row>
    <row r="10" spans="1:2" x14ac:dyDescent="0.25">
      <c r="A10" s="2" t="s">
        <v>36</v>
      </c>
      <c r="B10" s="9">
        <v>19243.8</v>
      </c>
    </row>
    <row r="11" spans="1:2" x14ac:dyDescent="0.25">
      <c r="A11" s="2" t="s">
        <v>37</v>
      </c>
      <c r="B11" s="9">
        <v>17662.61</v>
      </c>
    </row>
    <row r="12" spans="1:2" x14ac:dyDescent="0.25">
      <c r="A12" s="2" t="s">
        <v>38</v>
      </c>
      <c r="B12" s="9">
        <v>15478.57</v>
      </c>
    </row>
    <row r="13" spans="1:2" x14ac:dyDescent="0.25">
      <c r="A13" s="2" t="s">
        <v>39</v>
      </c>
      <c r="B13" s="9">
        <v>15290.97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F8D2-A05F-427C-988F-E7E764F325F5}">
  <dimension ref="A1:B13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3" width="25.28515625" bestFit="1" customWidth="1"/>
    <col min="4" max="5" width="17.5703125" bestFit="1" customWidth="1"/>
    <col min="6" max="6" width="29" bestFit="1" customWidth="1"/>
    <col min="8" max="8" width="18.85546875" customWidth="1"/>
    <col min="9" max="9" width="15.42578125" customWidth="1"/>
  </cols>
  <sheetData>
    <row r="1" spans="1:2" x14ac:dyDescent="0.25">
      <c r="A1" s="8" t="s">
        <v>48</v>
      </c>
    </row>
    <row r="3" spans="1:2" x14ac:dyDescent="0.25">
      <c r="A3" s="1" t="s">
        <v>40</v>
      </c>
      <c r="B3" t="s">
        <v>45</v>
      </c>
    </row>
    <row r="4" spans="1:2" x14ac:dyDescent="0.25">
      <c r="A4" s="2" t="s">
        <v>33</v>
      </c>
      <c r="B4" s="4">
        <v>561.98</v>
      </c>
    </row>
    <row r="5" spans="1:2" x14ac:dyDescent="0.25">
      <c r="A5" s="2" t="s">
        <v>31</v>
      </c>
      <c r="B5" s="4">
        <v>464.07</v>
      </c>
    </row>
    <row r="6" spans="1:2" x14ac:dyDescent="0.25">
      <c r="A6" s="2" t="s">
        <v>30</v>
      </c>
      <c r="B6" s="4">
        <v>454.86</v>
      </c>
    </row>
    <row r="7" spans="1:2" x14ac:dyDescent="0.25">
      <c r="A7" s="2" t="s">
        <v>35</v>
      </c>
      <c r="B7" s="4">
        <v>454.56</v>
      </c>
    </row>
    <row r="8" spans="1:2" x14ac:dyDescent="0.25">
      <c r="A8" s="2" t="s">
        <v>32</v>
      </c>
      <c r="B8" s="4">
        <v>452.72</v>
      </c>
    </row>
    <row r="9" spans="1:2" x14ac:dyDescent="0.25">
      <c r="A9" s="2" t="s">
        <v>36</v>
      </c>
      <c r="B9" s="4">
        <v>437.36</v>
      </c>
    </row>
    <row r="10" spans="1:2" x14ac:dyDescent="0.25">
      <c r="A10" s="2" t="s">
        <v>38</v>
      </c>
      <c r="B10" s="4">
        <v>418.34</v>
      </c>
    </row>
    <row r="11" spans="1:2" x14ac:dyDescent="0.25">
      <c r="A11" s="2" t="s">
        <v>34</v>
      </c>
      <c r="B11" s="4">
        <v>408.38</v>
      </c>
    </row>
    <row r="12" spans="1:2" x14ac:dyDescent="0.25">
      <c r="A12" s="2" t="s">
        <v>39</v>
      </c>
      <c r="B12" s="4">
        <v>339.8</v>
      </c>
    </row>
    <row r="13" spans="1:2" x14ac:dyDescent="0.25">
      <c r="A13" s="2" t="s">
        <v>37</v>
      </c>
      <c r="B13" s="4">
        <v>339.67</v>
      </c>
    </row>
  </sheetData>
  <conditionalFormatting sqref="H4:I1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3BFF-1CBF-4B7F-8E0D-711FEDB9882E}">
  <dimension ref="B6:Z17"/>
  <sheetViews>
    <sheetView showGridLines="0" tabSelected="1" topLeftCell="B4" zoomScale="88" zoomScaleNormal="68" workbookViewId="0">
      <selection activeCell="AG44" sqref="AG44"/>
    </sheetView>
  </sheetViews>
  <sheetFormatPr defaultColWidth="9.140625" defaultRowHeight="15" x14ac:dyDescent="0.25"/>
  <cols>
    <col min="1" max="1" width="9.140625" style="10" customWidth="1"/>
    <col min="2" max="24" width="9.140625" style="10"/>
    <col min="25" max="25" width="16.5703125" style="10" bestFit="1" customWidth="1"/>
    <col min="26" max="26" width="10.85546875" style="10" customWidth="1"/>
    <col min="27" max="16384" width="9.140625" style="10"/>
  </cols>
  <sheetData>
    <row r="6" spans="2:26" x14ac:dyDescent="0.25">
      <c r="B6" s="14" t="s">
        <v>49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2:26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2:2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17" spans="4:11" ht="21" x14ac:dyDescent="0.35">
      <c r="D17" s="11"/>
      <c r="E17" s="12"/>
      <c r="F17" s="12"/>
      <c r="G17" s="12"/>
      <c r="H17" s="12"/>
      <c r="I17" s="12"/>
      <c r="J17" s="12"/>
      <c r="K17" s="12"/>
    </row>
  </sheetData>
  <mergeCells count="1">
    <mergeCell ref="B6:Z8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F6AB2-07D6-444E-A6E1-165C20DA4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DT_03_customers</vt:lpstr>
      <vt:lpstr>PT_03_customers</vt:lpstr>
      <vt:lpstr>DT_04_revenue</vt:lpstr>
      <vt:lpstr>PT_04_revenue</vt:lpstr>
      <vt:lpstr>PT_05_cities</vt:lpstr>
      <vt:lpstr>DT_05_cities</vt:lpstr>
      <vt:lpstr>DT_05_cities (2)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Козырев</dc:creator>
  <cp:lastModifiedBy>Владислав Козырев</cp:lastModifiedBy>
  <cp:lastPrinted>2026-02-13T13:01:15Z</cp:lastPrinted>
  <dcterms:created xsi:type="dcterms:W3CDTF">2026-02-13T09:38:01Z</dcterms:created>
  <dcterms:modified xsi:type="dcterms:W3CDTF">2026-02-16T09:52:32Z</dcterms:modified>
</cp:coreProperties>
</file>